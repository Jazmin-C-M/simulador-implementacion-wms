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siness\Areas\Proyectos\ABI Simulador\"/>
    </mc:Choice>
  </mc:AlternateContent>
  <xr:revisionPtr revIDLastSave="0" documentId="13_ncr:1_{24D7F852-3344-47DA-A5C3-C6E64C431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REGABLES" sheetId="11" r:id="rId1"/>
    <sheet name="Sites Master" sheetId="1" r:id="rId2"/>
    <sheet name="Financials (USD)" sheetId="2" r:id="rId3"/>
    <sheet name="Resource Master" sheetId="3" r:id="rId4"/>
    <sheet name="Implementation Phases" sheetId="4" r:id="rId5"/>
    <sheet name="Phase-Resource Allocation" sheetId="5" r:id="rId6"/>
  </sheets>
  <definedNames>
    <definedName name="_xlnm._FilterDatabase" localSheetId="4" hidden="1">'Implementation Phases'!$A$1:$E$65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1" l="1"/>
  <c r="I21" i="11"/>
  <c r="I22" i="11" s="1"/>
  <c r="I14" i="11" s="1"/>
  <c r="I12" i="11" s="1"/>
  <c r="H21" i="11"/>
  <c r="I16" i="2"/>
  <c r="I15" i="2"/>
  <c r="I14" i="2"/>
  <c r="I13" i="2"/>
  <c r="I12" i="2"/>
  <c r="I11" i="2"/>
  <c r="I10" i="2"/>
  <c r="I9" i="2"/>
  <c r="H9" i="2"/>
  <c r="G9" i="2"/>
  <c r="F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<sst xmlns="http://schemas.openxmlformats.org/spreadsheetml/2006/main" count="769" uniqueCount="117">
  <si>
    <t>A</t>
  </si>
  <si>
    <t>Cluster</t>
  </si>
  <si>
    <t>Site 01</t>
  </si>
  <si>
    <t>Site 03</t>
  </si>
  <si>
    <t>Site 04</t>
  </si>
  <si>
    <t>B</t>
  </si>
  <si>
    <t>Site 05</t>
  </si>
  <si>
    <t>Site 06</t>
  </si>
  <si>
    <t>Site 07</t>
  </si>
  <si>
    <t>Site 08</t>
  </si>
  <si>
    <t>Site 09</t>
  </si>
  <si>
    <t>Site 10</t>
  </si>
  <si>
    <t>Site 11</t>
  </si>
  <si>
    <t>Site 12</t>
  </si>
  <si>
    <t>Site 13</t>
  </si>
  <si>
    <t>Site 14</t>
  </si>
  <si>
    <t>Site 15</t>
  </si>
  <si>
    <t>Azure Lead</t>
  </si>
  <si>
    <t>Azure Specialist</t>
  </si>
  <si>
    <t>Change Management Lead</t>
  </si>
  <si>
    <t>Functional Lead</t>
  </si>
  <si>
    <t>Functional Lead Vendor A</t>
  </si>
  <si>
    <t>Infrastructure Lead</t>
  </si>
  <si>
    <t>SAP Integrations Lead</t>
  </si>
  <si>
    <t>SAP Integrations Specialist</t>
  </si>
  <si>
    <t>Solution Architect</t>
  </si>
  <si>
    <t>Testing Lead</t>
  </si>
  <si>
    <t>Trainers</t>
  </si>
  <si>
    <t>Site Readiness</t>
  </si>
  <si>
    <t>Design Adaptation</t>
  </si>
  <si>
    <t>Functional Review</t>
  </si>
  <si>
    <t>UAT</t>
  </si>
  <si>
    <t>Training</t>
  </si>
  <si>
    <t>DIALT</t>
  </si>
  <si>
    <t>Go Live</t>
  </si>
  <si>
    <t>Hypercare</t>
  </si>
  <si>
    <t>Country</t>
  </si>
  <si>
    <t>Brewery</t>
  </si>
  <si>
    <t>Capacity
(Mio HL)</t>
  </si>
  <si>
    <t>Production
(Mio HL)</t>
  </si>
  <si>
    <t>Distribution Volume (K HL)</t>
  </si>
  <si>
    <t>Line Capacity</t>
  </si>
  <si>
    <t>Production Lines</t>
  </si>
  <si>
    <t># Warehouses</t>
  </si>
  <si>
    <t>Warehouse Area</t>
  </si>
  <si>
    <t>Occupation LV</t>
  </si>
  <si>
    <t>Aisles Identification</t>
  </si>
  <si>
    <t>Box Identification</t>
  </si>
  <si>
    <t>Control Tower</t>
  </si>
  <si>
    <t>T2/MKP/KA</t>
  </si>
  <si>
    <t>Forklifts in Logistics</t>
  </si>
  <si>
    <t>HC Forklifts</t>
  </si>
  <si>
    <t>WIFI State</t>
  </si>
  <si>
    <t>Tablets</t>
  </si>
  <si>
    <t>Counting Devices</t>
  </si>
  <si>
    <t>Yes</t>
  </si>
  <si>
    <t>No</t>
  </si>
  <si>
    <t>Benefits per month</t>
  </si>
  <si>
    <t>Implementation Costs</t>
  </si>
  <si>
    <t>Devices</t>
  </si>
  <si>
    <t>Forklift Structure</t>
  </si>
  <si>
    <t>Warehouse Signage</t>
  </si>
  <si>
    <t>Labels</t>
  </si>
  <si>
    <t>Costs without Labelers &amp; WiFi</t>
  </si>
  <si>
    <t>Label Printers / Labelers</t>
  </si>
  <si>
    <t>Manual Labeling</t>
  </si>
  <si>
    <t>WiFi Full</t>
  </si>
  <si>
    <t>WiFi Full Optimized</t>
  </si>
  <si>
    <t>WiFi Prioritized</t>
  </si>
  <si>
    <t>Site 02</t>
  </si>
  <si>
    <t>Role</t>
  </si>
  <si>
    <t>Work Mode</t>
  </si>
  <si>
    <t>Can Multitask</t>
  </si>
  <si>
    <t>Internal or External</t>
  </si>
  <si>
    <t>Fixed or Flexible Cost</t>
  </si>
  <si>
    <t>Remote</t>
  </si>
  <si>
    <t>Internal</t>
  </si>
  <si>
    <t>Fixed</t>
  </si>
  <si>
    <t>Post</t>
  </si>
  <si>
    <t>Warehouse Manager Org A</t>
  </si>
  <si>
    <t>Hybrid</t>
  </si>
  <si>
    <t>Project Manager Country B</t>
  </si>
  <si>
    <t>Partial</t>
  </si>
  <si>
    <t>Project Manager Country A</t>
  </si>
  <si>
    <t>Onsite</t>
  </si>
  <si>
    <t>External</t>
  </si>
  <si>
    <t>Flexible</t>
  </si>
  <si>
    <t>Support Lead</t>
  </si>
  <si>
    <t>Phase</t>
  </si>
  <si>
    <t>Sequence</t>
  </si>
  <si>
    <t>Deployment Maturity</t>
  </si>
  <si>
    <t>Duration in Weeks</t>
  </si>
  <si>
    <t>Capacity Consumption</t>
  </si>
  <si>
    <t>Mexico</t>
  </si>
  <si>
    <t>Colombia</t>
  </si>
  <si>
    <t>Average Monthly Cost (MXN)</t>
  </si>
  <si>
    <t>Tablero donde se vea el plan de trabajo general inicio - fin del programa</t>
  </si>
  <si>
    <t>tablero donde se vea el plan de trabajo por site</t>
  </si>
  <si>
    <t xml:space="preserve">tabla de uso de recursos por sitio y general para el programa. Quiero poder modificar esa tabla </t>
  </si>
  <si>
    <t>Escenario 1</t>
  </si>
  <si>
    <t>Actual</t>
  </si>
  <si>
    <t>poder guardar el escenario</t>
  </si>
  <si>
    <t>que me de un resumen de costos para el programa (por escenario), costo por site, por tipo de recurso</t>
  </si>
  <si>
    <t>objetivo:</t>
  </si>
  <si>
    <t>lograr la implementación de todo el programa en 8 meses</t>
  </si>
  <si>
    <t>quien va a ganar:</t>
  </si>
  <si>
    <t>menor costo</t>
  </si>
  <si>
    <t>rubrica de calificación</t>
  </si>
  <si>
    <t>8 meses + menor costo</t>
  </si>
  <si>
    <r>
      <t>Calidad de la información.</t>
    </r>
    <r>
      <rPr>
        <sz val="8"/>
        <rFont val="Segoe UI"/>
        <family val="2"/>
      </rPr>
      <t> Correcta, bien etiquetada, sin basura ni errores.</t>
    </r>
  </si>
  <si>
    <r>
      <t>Visual / UI.</t>
    </r>
    <r>
      <rPr>
        <sz val="8"/>
        <rFont val="Segoe UI"/>
        <family val="2"/>
      </rPr>
      <t> Limpio, con jerarquía y legible.</t>
    </r>
  </si>
  <si>
    <t>Dashboard principal</t>
  </si>
  <si>
    <t>Guardar y comparar escenarios</t>
  </si>
  <si>
    <t>Explicacion y entendimiento de cada pestaña del excel</t>
  </si>
  <si>
    <t>Rúbrica</t>
  </si>
  <si>
    <t>Ejemplo</t>
  </si>
  <si>
    <t>Maxima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</si>
</sst>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8"/>
      <name val="Segoe UI"/>
      <family val="2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/>
    <xf numFmtId="9" fontId="1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 applyAlignment="1">
      <alignment horizontal="center" vertical="center"/>
    </xf>
    <xf numFmtId="9" fontId="3" fillId="0" borderId="0" xfId="2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43" fontId="3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9" fontId="3" fillId="0" borderId="1" xfId="2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43" fontId="3" fillId="0" borderId="0" xfId="0" applyNumberFormat="1" applyFont="1"/>
    <xf numFmtId="9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64" fontId="3" fillId="4" borderId="1" xfId="1" applyNumberFormat="1" applyFont="1" applyFill="1" applyBorder="1" applyAlignment="1">
      <alignment horizontal="center"/>
    </xf>
    <xf numFmtId="164" fontId="3" fillId="0" borderId="0" xfId="0" applyNumberFormat="1" applyFont="1"/>
    <xf numFmtId="44" fontId="3" fillId="0" borderId="1" xfId="3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center" indent="2"/>
    </xf>
    <xf numFmtId="0" fontId="7" fillId="0" borderId="0" xfId="0" applyFont="1" applyAlignment="1">
      <alignment horizontal="center" vertical="center"/>
    </xf>
    <xf numFmtId="9" fontId="0" fillId="0" borderId="0" xfId="0" applyNumberFormat="1" applyAlignment="1">
      <alignment horizontal="center"/>
    </xf>
    <xf numFmtId="9" fontId="1" fillId="0" borderId="0" xfId="2" applyAlignment="1">
      <alignment horizontal="center"/>
    </xf>
    <xf numFmtId="9" fontId="7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1" fillId="0" borderId="0" xfId="2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59D7-BE7B-4C8A-A979-D0D9D8C14E64}">
  <dimension ref="B2:I22"/>
  <sheetViews>
    <sheetView tabSelected="1" workbookViewId="0">
      <selection activeCell="A15" sqref="A15"/>
    </sheetView>
  </sheetViews>
  <sheetFormatPr baseColWidth="10" defaultRowHeight="14.4" x14ac:dyDescent="0.3"/>
  <cols>
    <col min="2" max="2" width="14.33203125" bestFit="1" customWidth="1"/>
  </cols>
  <sheetData>
    <row r="2" spans="2:9" x14ac:dyDescent="0.3">
      <c r="B2" t="s">
        <v>103</v>
      </c>
      <c r="C2" t="s">
        <v>104</v>
      </c>
    </row>
    <row r="3" spans="2:9" x14ac:dyDescent="0.3">
      <c r="B3" t="s">
        <v>105</v>
      </c>
      <c r="C3" t="s">
        <v>106</v>
      </c>
    </row>
    <row r="5" spans="2:9" x14ac:dyDescent="0.3">
      <c r="B5" s="23">
        <v>1</v>
      </c>
      <c r="C5" t="s">
        <v>96</v>
      </c>
    </row>
    <row r="6" spans="2:9" x14ac:dyDescent="0.3">
      <c r="B6" s="23">
        <v>2</v>
      </c>
      <c r="C6" t="s">
        <v>97</v>
      </c>
    </row>
    <row r="7" spans="2:9" x14ac:dyDescent="0.3">
      <c r="B7" s="23">
        <v>3</v>
      </c>
      <c r="C7" t="s">
        <v>98</v>
      </c>
    </row>
    <row r="8" spans="2:9" x14ac:dyDescent="0.3">
      <c r="B8" s="23">
        <v>4</v>
      </c>
      <c r="C8" t="s">
        <v>101</v>
      </c>
    </row>
    <row r="9" spans="2:9" x14ac:dyDescent="0.3">
      <c r="B9" s="23">
        <v>5</v>
      </c>
      <c r="C9" t="s">
        <v>102</v>
      </c>
    </row>
    <row r="11" spans="2:9" x14ac:dyDescent="0.3">
      <c r="B11" t="s">
        <v>107</v>
      </c>
      <c r="H11" t="s">
        <v>116</v>
      </c>
      <c r="I11" t="s">
        <v>115</v>
      </c>
    </row>
    <row r="12" spans="2:9" x14ac:dyDescent="0.3">
      <c r="H12" s="28">
        <f>+H13+H14</f>
        <v>1</v>
      </c>
      <c r="I12" s="28">
        <f>+I13+I14</f>
        <v>0.84375</v>
      </c>
    </row>
    <row r="13" spans="2:9" x14ac:dyDescent="0.3">
      <c r="C13" t="s">
        <v>108</v>
      </c>
      <c r="H13" s="29">
        <v>0.5</v>
      </c>
      <c r="I13" s="29">
        <v>0.5</v>
      </c>
    </row>
    <row r="14" spans="2:9" x14ac:dyDescent="0.3">
      <c r="C14" t="s">
        <v>114</v>
      </c>
      <c r="H14" s="29">
        <v>0.5</v>
      </c>
      <c r="I14" s="30">
        <f>+I22</f>
        <v>0.34375</v>
      </c>
    </row>
    <row r="15" spans="2:9" x14ac:dyDescent="0.3">
      <c r="H15" t="s">
        <v>116</v>
      </c>
      <c r="I15" t="s">
        <v>115</v>
      </c>
    </row>
    <row r="16" spans="2:9" x14ac:dyDescent="0.3">
      <c r="C16" s="24" t="s">
        <v>111</v>
      </c>
      <c r="H16" s="31">
        <v>4</v>
      </c>
      <c r="I16" s="32">
        <v>2</v>
      </c>
    </row>
    <row r="17" spans="3:9" x14ac:dyDescent="0.3">
      <c r="C17" s="24" t="s">
        <v>112</v>
      </c>
      <c r="H17" s="31">
        <v>4</v>
      </c>
      <c r="I17" s="32">
        <v>3</v>
      </c>
    </row>
    <row r="18" spans="3:9" x14ac:dyDescent="0.3">
      <c r="C18" s="24" t="s">
        <v>113</v>
      </c>
      <c r="H18" s="31">
        <v>4</v>
      </c>
      <c r="I18" s="32">
        <v>3</v>
      </c>
    </row>
    <row r="19" spans="3:9" x14ac:dyDescent="0.3">
      <c r="C19" s="24" t="s">
        <v>109</v>
      </c>
      <c r="H19" s="31">
        <v>2</v>
      </c>
      <c r="I19" s="32">
        <v>1</v>
      </c>
    </row>
    <row r="20" spans="3:9" x14ac:dyDescent="0.3">
      <c r="C20" s="24" t="s">
        <v>110</v>
      </c>
      <c r="H20" s="31">
        <v>2</v>
      </c>
      <c r="I20" s="32">
        <v>2</v>
      </c>
    </row>
    <row r="21" spans="3:9" x14ac:dyDescent="0.3">
      <c r="H21" s="25">
        <f>+SUM(H16:H20)</f>
        <v>16</v>
      </c>
      <c r="I21" s="25">
        <f>+SUM(I16:I20)</f>
        <v>11</v>
      </c>
    </row>
    <row r="22" spans="3:9" x14ac:dyDescent="0.3">
      <c r="H22" s="26">
        <v>0.5</v>
      </c>
      <c r="I22" s="27">
        <f>+I21/H21*H22</f>
        <v>0.34375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0" sqref="D20"/>
    </sheetView>
  </sheetViews>
  <sheetFormatPr baseColWidth="10" defaultColWidth="10.88671875" defaultRowHeight="13.8" x14ac:dyDescent="0.3"/>
  <cols>
    <col min="1" max="1" width="10.88671875" style="3" customWidth="1"/>
    <col min="2" max="2" width="12.21875" style="4" bestFit="1" customWidth="1"/>
    <col min="3" max="5" width="12.21875" style="4" customWidth="1"/>
    <col min="6" max="6" width="13.88671875" style="3" customWidth="1"/>
    <col min="7" max="7" width="10.88671875" style="3" customWidth="1"/>
    <col min="8" max="8" width="12.21875" style="4" customWidth="1"/>
    <col min="9" max="9" width="13.44140625" style="3" customWidth="1"/>
    <col min="10" max="11" width="10.88671875" style="3" customWidth="1"/>
    <col min="12" max="13" width="11.88671875" style="3" customWidth="1"/>
    <col min="14" max="14" width="10.88671875" style="3" customWidth="1"/>
    <col min="15" max="16384" width="10.88671875" style="3"/>
  </cols>
  <sheetData>
    <row r="1" spans="1:20" s="1" customFormat="1" ht="32.549999999999997" customHeight="1" x14ac:dyDescent="0.3">
      <c r="A1" s="5" t="s">
        <v>36</v>
      </c>
      <c r="B1" s="6" t="s">
        <v>37</v>
      </c>
      <c r="C1" s="6" t="s">
        <v>1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  <c r="K1" s="6" t="s">
        <v>45</v>
      </c>
      <c r="L1" s="6" t="s">
        <v>46</v>
      </c>
      <c r="M1" s="6" t="s">
        <v>47</v>
      </c>
      <c r="N1" s="6" t="s">
        <v>48</v>
      </c>
      <c r="O1" s="6" t="s">
        <v>49</v>
      </c>
      <c r="P1" s="6" t="s">
        <v>50</v>
      </c>
      <c r="Q1" s="6" t="s">
        <v>51</v>
      </c>
      <c r="R1" s="6" t="s">
        <v>52</v>
      </c>
      <c r="S1" s="6" t="s">
        <v>53</v>
      </c>
      <c r="T1" s="6" t="s">
        <v>54</v>
      </c>
    </row>
    <row r="2" spans="1:20" ht="13.05" customHeight="1" x14ac:dyDescent="0.3">
      <c r="A2" s="17" t="s">
        <v>93</v>
      </c>
      <c r="B2" s="7" t="s">
        <v>2</v>
      </c>
      <c r="C2" s="14">
        <v>2</v>
      </c>
      <c r="D2" s="8">
        <v>3.72</v>
      </c>
      <c r="E2" s="8">
        <v>1.43</v>
      </c>
      <c r="F2" s="9">
        <v>6400</v>
      </c>
      <c r="G2" s="10">
        <v>0.38440860215053763</v>
      </c>
      <c r="H2" s="11">
        <v>3</v>
      </c>
      <c r="I2" s="11">
        <v>1</v>
      </c>
      <c r="J2" s="9">
        <v>9100</v>
      </c>
      <c r="K2" s="10">
        <v>0.81500000000000006</v>
      </c>
      <c r="L2" s="10">
        <v>0.89</v>
      </c>
      <c r="M2" s="11" t="s">
        <v>55</v>
      </c>
      <c r="N2" s="11" t="s">
        <v>56</v>
      </c>
      <c r="O2" s="11" t="s">
        <v>56</v>
      </c>
      <c r="P2" s="11">
        <v>18</v>
      </c>
      <c r="Q2" s="12">
        <v>38</v>
      </c>
      <c r="R2" s="10">
        <v>0.85</v>
      </c>
      <c r="S2" s="13">
        <v>15</v>
      </c>
      <c r="T2" s="13">
        <v>5</v>
      </c>
    </row>
    <row r="3" spans="1:20" ht="13.05" customHeight="1" x14ac:dyDescent="0.3">
      <c r="A3" s="17" t="s">
        <v>93</v>
      </c>
      <c r="B3" s="7" t="s">
        <v>69</v>
      </c>
      <c r="C3" s="14">
        <v>2</v>
      </c>
      <c r="D3" s="8">
        <v>6.46</v>
      </c>
      <c r="E3" s="8">
        <v>4.7699999999999996</v>
      </c>
      <c r="F3" s="9">
        <v>11160</v>
      </c>
      <c r="G3" s="10">
        <v>0.73839009287925694</v>
      </c>
      <c r="H3" s="11">
        <v>6</v>
      </c>
      <c r="I3" s="11">
        <v>2</v>
      </c>
      <c r="J3" s="9">
        <v>15572</v>
      </c>
      <c r="K3" s="10">
        <v>0.94</v>
      </c>
      <c r="L3" s="10">
        <v>0</v>
      </c>
      <c r="M3" s="11" t="s">
        <v>56</v>
      </c>
      <c r="N3" s="11" t="s">
        <v>56</v>
      </c>
      <c r="O3" s="11" t="s">
        <v>56</v>
      </c>
      <c r="P3" s="11">
        <v>30</v>
      </c>
      <c r="Q3" s="12">
        <v>90</v>
      </c>
      <c r="R3" s="10">
        <v>0</v>
      </c>
      <c r="S3" s="13">
        <v>29</v>
      </c>
      <c r="T3" s="13">
        <v>6</v>
      </c>
    </row>
    <row r="4" spans="1:20" ht="13.05" customHeight="1" x14ac:dyDescent="0.3">
      <c r="A4" s="17" t="s">
        <v>93</v>
      </c>
      <c r="B4" s="7" t="s">
        <v>3</v>
      </c>
      <c r="C4" s="14">
        <v>2</v>
      </c>
      <c r="D4" s="8">
        <v>6.46</v>
      </c>
      <c r="E4" s="8">
        <v>4.7699999999999996</v>
      </c>
      <c r="F4" s="9">
        <v>11160</v>
      </c>
      <c r="G4" s="10">
        <v>0.73839009287925694</v>
      </c>
      <c r="H4" s="11">
        <v>6</v>
      </c>
      <c r="I4" s="11">
        <v>2</v>
      </c>
      <c r="J4" s="9">
        <v>15572</v>
      </c>
      <c r="K4" s="10">
        <v>0.94</v>
      </c>
      <c r="L4" s="10">
        <v>0</v>
      </c>
      <c r="M4" s="11" t="s">
        <v>56</v>
      </c>
      <c r="N4" s="11" t="s">
        <v>56</v>
      </c>
      <c r="O4" s="11" t="s">
        <v>56</v>
      </c>
      <c r="P4" s="11">
        <v>30</v>
      </c>
      <c r="Q4" s="12">
        <v>90</v>
      </c>
      <c r="R4" s="10">
        <v>0</v>
      </c>
      <c r="S4" s="13">
        <v>29</v>
      </c>
      <c r="T4" s="13">
        <v>6</v>
      </c>
    </row>
    <row r="5" spans="1:20" ht="13.05" customHeight="1" x14ac:dyDescent="0.3">
      <c r="A5" s="17" t="s">
        <v>93</v>
      </c>
      <c r="B5" s="7" t="s">
        <v>4</v>
      </c>
      <c r="C5" s="14">
        <v>2</v>
      </c>
      <c r="D5" s="8">
        <v>6.59</v>
      </c>
      <c r="E5" s="8">
        <v>4.58</v>
      </c>
      <c r="F5" s="9">
        <v>11520</v>
      </c>
      <c r="G5" s="10">
        <v>0.69499241274658574</v>
      </c>
      <c r="H5" s="11">
        <v>5</v>
      </c>
      <c r="I5" s="11">
        <v>2</v>
      </c>
      <c r="J5" s="9">
        <v>17742</v>
      </c>
      <c r="K5" s="10">
        <v>0.78</v>
      </c>
      <c r="L5" s="10">
        <v>0</v>
      </c>
      <c r="M5" s="11" t="s">
        <v>56</v>
      </c>
      <c r="N5" s="11" t="s">
        <v>55</v>
      </c>
      <c r="O5" s="11" t="s">
        <v>56</v>
      </c>
      <c r="P5" s="11">
        <v>37</v>
      </c>
      <c r="Q5" s="12">
        <v>80</v>
      </c>
      <c r="R5" s="10">
        <v>0</v>
      </c>
      <c r="S5" s="13">
        <v>15</v>
      </c>
      <c r="T5" s="13">
        <v>4</v>
      </c>
    </row>
    <row r="6" spans="1:20" ht="13.05" customHeight="1" x14ac:dyDescent="0.3">
      <c r="A6" s="17" t="s">
        <v>93</v>
      </c>
      <c r="B6" s="7" t="s">
        <v>6</v>
      </c>
      <c r="C6" s="14">
        <v>3</v>
      </c>
      <c r="D6" s="8">
        <v>2.75</v>
      </c>
      <c r="E6" s="8">
        <v>2.12</v>
      </c>
      <c r="F6" s="9">
        <v>6848</v>
      </c>
      <c r="G6" s="10">
        <v>0.77090909090909099</v>
      </c>
      <c r="H6" s="11">
        <v>2</v>
      </c>
      <c r="I6" s="11">
        <v>3</v>
      </c>
      <c r="J6" s="9">
        <v>5239</v>
      </c>
      <c r="K6" s="10">
        <v>0.85499999999999998</v>
      </c>
      <c r="L6" s="10">
        <v>0.9</v>
      </c>
      <c r="M6" s="11" t="s">
        <v>55</v>
      </c>
      <c r="N6" s="11" t="s">
        <v>56</v>
      </c>
      <c r="O6" s="11" t="s">
        <v>55</v>
      </c>
      <c r="P6" s="11">
        <v>14</v>
      </c>
      <c r="Q6" s="12">
        <v>42</v>
      </c>
      <c r="R6" s="10">
        <v>0</v>
      </c>
      <c r="S6" s="13">
        <v>14</v>
      </c>
      <c r="T6" s="13">
        <v>4</v>
      </c>
    </row>
    <row r="7" spans="1:20" ht="13.05" customHeight="1" x14ac:dyDescent="0.3">
      <c r="A7" s="17" t="s">
        <v>93</v>
      </c>
      <c r="B7" s="7" t="s">
        <v>7</v>
      </c>
      <c r="C7" s="14">
        <v>1</v>
      </c>
      <c r="D7" s="8">
        <v>13.2</v>
      </c>
      <c r="E7" s="8">
        <v>12.19</v>
      </c>
      <c r="F7" s="9">
        <v>29946</v>
      </c>
      <c r="G7" s="10">
        <v>0.92348484848484846</v>
      </c>
      <c r="H7" s="11">
        <v>9</v>
      </c>
      <c r="I7" s="11">
        <v>2</v>
      </c>
      <c r="J7" s="9">
        <v>36333</v>
      </c>
      <c r="K7" s="10">
        <v>1</v>
      </c>
      <c r="L7" s="10">
        <v>0.93</v>
      </c>
      <c r="M7" s="11" t="s">
        <v>55</v>
      </c>
      <c r="N7" s="11" t="s">
        <v>55</v>
      </c>
      <c r="O7" s="11" t="s">
        <v>55</v>
      </c>
      <c r="P7" s="11">
        <v>76</v>
      </c>
      <c r="Q7" s="12">
        <v>213</v>
      </c>
      <c r="R7" s="10">
        <v>0</v>
      </c>
      <c r="S7" s="13">
        <v>85</v>
      </c>
      <c r="T7" s="13">
        <v>8</v>
      </c>
    </row>
    <row r="8" spans="1:20" ht="13.05" customHeight="1" x14ac:dyDescent="0.3">
      <c r="A8" s="17" t="s">
        <v>93</v>
      </c>
      <c r="B8" s="7" t="s">
        <v>8</v>
      </c>
      <c r="C8" s="14">
        <v>2</v>
      </c>
      <c r="D8" s="8">
        <v>4.7699999999999996</v>
      </c>
      <c r="E8" s="8">
        <v>3.82</v>
      </c>
      <c r="F8" s="9">
        <v>9900</v>
      </c>
      <c r="G8" s="10">
        <v>0.80083857442348017</v>
      </c>
      <c r="H8" s="11">
        <v>4</v>
      </c>
      <c r="I8" s="11">
        <v>1</v>
      </c>
      <c r="J8" s="9">
        <v>14897</v>
      </c>
      <c r="K8" s="10">
        <v>1.05</v>
      </c>
      <c r="L8" s="10">
        <v>0</v>
      </c>
      <c r="M8" s="11" t="s">
        <v>56</v>
      </c>
      <c r="N8" s="11" t="s">
        <v>56</v>
      </c>
      <c r="O8" s="11" t="s">
        <v>55</v>
      </c>
      <c r="P8" s="11">
        <v>32</v>
      </c>
      <c r="Q8" s="12">
        <v>75</v>
      </c>
      <c r="R8" s="10">
        <v>0</v>
      </c>
      <c r="S8" s="13">
        <v>32</v>
      </c>
      <c r="T8" s="13">
        <v>6</v>
      </c>
    </row>
    <row r="9" spans="1:20" ht="13.05" customHeight="1" x14ac:dyDescent="0.3">
      <c r="A9" s="17" t="s">
        <v>94</v>
      </c>
      <c r="B9" s="7" t="s">
        <v>9</v>
      </c>
      <c r="C9" s="14">
        <v>1</v>
      </c>
      <c r="D9" s="8">
        <v>14.262347627</v>
      </c>
      <c r="E9" s="8">
        <v>14.221547376</v>
      </c>
      <c r="F9" s="9">
        <v>11189</v>
      </c>
      <c r="G9" s="10">
        <v>0.99713930328533296</v>
      </c>
      <c r="H9" s="11">
        <v>3</v>
      </c>
      <c r="I9" s="11">
        <v>1</v>
      </c>
      <c r="J9" s="9">
        <v>28576</v>
      </c>
      <c r="K9" s="10">
        <v>1.04</v>
      </c>
      <c r="L9" s="10">
        <v>1</v>
      </c>
      <c r="M9" s="11" t="s">
        <v>55</v>
      </c>
      <c r="N9" s="11" t="s">
        <v>55</v>
      </c>
      <c r="O9" s="11" t="s">
        <v>55</v>
      </c>
      <c r="P9" s="11">
        <v>32</v>
      </c>
      <c r="Q9" s="12">
        <v>117</v>
      </c>
      <c r="R9" s="10">
        <v>1</v>
      </c>
      <c r="S9" s="13">
        <v>40</v>
      </c>
      <c r="T9" s="13">
        <v>5</v>
      </c>
    </row>
    <row r="10" spans="1:20" ht="13.05" customHeight="1" x14ac:dyDescent="0.3">
      <c r="A10" s="17" t="s">
        <v>94</v>
      </c>
      <c r="B10" s="7" t="s">
        <v>10</v>
      </c>
      <c r="C10" s="14">
        <v>2</v>
      </c>
      <c r="D10" s="8">
        <v>7.9588732209999993</v>
      </c>
      <c r="E10" s="8">
        <v>3.0928813229999998</v>
      </c>
      <c r="F10" s="9">
        <v>1822.303780952544</v>
      </c>
      <c r="G10" s="10">
        <v>0.38860793948058298</v>
      </c>
      <c r="H10" s="11">
        <v>4</v>
      </c>
      <c r="I10" s="11">
        <v>1</v>
      </c>
      <c r="J10" s="9">
        <v>14097</v>
      </c>
      <c r="K10" s="10">
        <v>0.88</v>
      </c>
      <c r="L10" s="10">
        <v>0.5</v>
      </c>
      <c r="M10" s="11" t="s">
        <v>55</v>
      </c>
      <c r="N10" s="11" t="s">
        <v>55</v>
      </c>
      <c r="O10" s="11" t="s">
        <v>55</v>
      </c>
      <c r="P10" s="11">
        <v>10</v>
      </c>
      <c r="Q10" s="12">
        <v>32</v>
      </c>
      <c r="R10" s="10">
        <v>0.7</v>
      </c>
      <c r="S10" s="13">
        <v>20</v>
      </c>
      <c r="T10" s="13">
        <v>4</v>
      </c>
    </row>
    <row r="11" spans="1:20" ht="13.05" customHeight="1" x14ac:dyDescent="0.3">
      <c r="A11" s="17" t="s">
        <v>94</v>
      </c>
      <c r="B11" s="7" t="s">
        <v>11</v>
      </c>
      <c r="C11" s="14">
        <v>1</v>
      </c>
      <c r="D11" s="8">
        <v>13.689520912000001</v>
      </c>
      <c r="E11" s="8">
        <v>10.31654573699999</v>
      </c>
      <c r="F11" s="9">
        <v>11164.559621367751</v>
      </c>
      <c r="G11" s="10">
        <v>0.75360896873729821</v>
      </c>
      <c r="H11" s="11">
        <v>10</v>
      </c>
      <c r="I11" s="11">
        <v>4</v>
      </c>
      <c r="J11" s="9">
        <v>13978</v>
      </c>
      <c r="K11" s="10">
        <v>0.96</v>
      </c>
      <c r="L11" s="10">
        <v>0.8</v>
      </c>
      <c r="M11" s="11" t="s">
        <v>56</v>
      </c>
      <c r="N11" s="11" t="s">
        <v>55</v>
      </c>
      <c r="O11" s="11" t="s">
        <v>55</v>
      </c>
      <c r="P11" s="11">
        <v>62</v>
      </c>
      <c r="Q11" s="12">
        <v>169</v>
      </c>
      <c r="R11" s="10">
        <v>0.5</v>
      </c>
      <c r="S11" s="13">
        <v>55</v>
      </c>
      <c r="T11" s="13">
        <v>7</v>
      </c>
    </row>
    <row r="12" spans="1:20" ht="13.05" customHeight="1" x14ac:dyDescent="0.3">
      <c r="A12" s="17" t="s">
        <v>94</v>
      </c>
      <c r="B12" s="7" t="s">
        <v>12</v>
      </c>
      <c r="C12" s="14">
        <v>3</v>
      </c>
      <c r="D12" s="8">
        <v>3.9803505460000008</v>
      </c>
      <c r="E12" s="8">
        <v>3.4122615330000001</v>
      </c>
      <c r="F12" s="9">
        <v>2911.3282824164498</v>
      </c>
      <c r="G12" s="10">
        <v>0.85727663771451135</v>
      </c>
      <c r="H12" s="11">
        <v>4</v>
      </c>
      <c r="I12" s="11">
        <v>3</v>
      </c>
      <c r="J12" s="9">
        <v>4684</v>
      </c>
      <c r="K12" s="10">
        <v>0.84</v>
      </c>
      <c r="L12" s="10">
        <v>0.8</v>
      </c>
      <c r="M12" s="11" t="s">
        <v>56</v>
      </c>
      <c r="N12" s="11" t="s">
        <v>56</v>
      </c>
      <c r="O12" s="11" t="s">
        <v>56</v>
      </c>
      <c r="P12" s="11">
        <v>17</v>
      </c>
      <c r="Q12" s="12">
        <v>42</v>
      </c>
      <c r="R12" s="10">
        <v>0.6</v>
      </c>
      <c r="S12" s="13">
        <v>16</v>
      </c>
      <c r="T12" s="13">
        <v>3</v>
      </c>
    </row>
    <row r="13" spans="1:20" ht="13.05" customHeight="1" x14ac:dyDescent="0.3">
      <c r="A13" s="17" t="s">
        <v>94</v>
      </c>
      <c r="B13" s="7" t="s">
        <v>13</v>
      </c>
      <c r="C13" s="14">
        <v>4</v>
      </c>
      <c r="D13" s="8">
        <v>2.1681612069999998</v>
      </c>
      <c r="E13" s="8">
        <v>0.72307515399999989</v>
      </c>
      <c r="F13" s="9">
        <v>699.07032063635688</v>
      </c>
      <c r="G13" s="10">
        <v>0.33349695200962048</v>
      </c>
      <c r="H13" s="11">
        <v>2</v>
      </c>
      <c r="I13" s="11">
        <v>1</v>
      </c>
      <c r="J13" s="9">
        <v>3797</v>
      </c>
      <c r="K13" s="10">
        <v>0.8</v>
      </c>
      <c r="L13" s="10">
        <v>0.8</v>
      </c>
      <c r="M13" s="11" t="s">
        <v>56</v>
      </c>
      <c r="N13" s="11" t="s">
        <v>56</v>
      </c>
      <c r="O13" s="11" t="s">
        <v>56</v>
      </c>
      <c r="P13" s="11">
        <v>4</v>
      </c>
      <c r="Q13" s="12">
        <v>15</v>
      </c>
      <c r="R13" s="10">
        <v>0.7</v>
      </c>
      <c r="S13" s="13">
        <v>5</v>
      </c>
      <c r="T13" s="13">
        <v>3</v>
      </c>
    </row>
    <row r="14" spans="1:20" ht="13.05" customHeight="1" x14ac:dyDescent="0.3">
      <c r="A14" s="17" t="s">
        <v>94</v>
      </c>
      <c r="B14" s="7" t="s">
        <v>14</v>
      </c>
      <c r="C14" s="14">
        <v>1</v>
      </c>
      <c r="D14" s="8">
        <v>30.368177152999991</v>
      </c>
      <c r="E14" s="8">
        <v>20.955335884</v>
      </c>
      <c r="F14" s="9">
        <v>23650.213350626869</v>
      </c>
      <c r="G14" s="10">
        <v>0.69004259881729113</v>
      </c>
      <c r="H14" s="11">
        <v>14</v>
      </c>
      <c r="I14" s="11">
        <v>2</v>
      </c>
      <c r="J14" s="9">
        <v>85322</v>
      </c>
      <c r="K14" s="10">
        <v>1.08</v>
      </c>
      <c r="L14" s="10">
        <v>0.8</v>
      </c>
      <c r="M14" s="11" t="s">
        <v>55</v>
      </c>
      <c r="N14" s="11" t="s">
        <v>55</v>
      </c>
      <c r="O14" s="11" t="s">
        <v>55</v>
      </c>
      <c r="P14" s="11">
        <v>100</v>
      </c>
      <c r="Q14" s="12">
        <v>345</v>
      </c>
      <c r="R14" s="10">
        <v>0.6</v>
      </c>
      <c r="S14" s="13">
        <v>135</v>
      </c>
      <c r="T14" s="13">
        <v>15</v>
      </c>
    </row>
    <row r="15" spans="1:20" ht="13.05" customHeight="1" x14ac:dyDescent="0.3">
      <c r="A15" s="17" t="s">
        <v>94</v>
      </c>
      <c r="B15" s="7" t="s">
        <v>15</v>
      </c>
      <c r="C15" s="14">
        <v>1</v>
      </c>
      <c r="D15" s="8">
        <v>13.63726149800001</v>
      </c>
      <c r="E15" s="8">
        <v>10.618098852999999</v>
      </c>
      <c r="F15" s="9">
        <v>11442.730605744509</v>
      </c>
      <c r="G15" s="10">
        <v>0.77860931643477016</v>
      </c>
      <c r="H15" s="11">
        <v>11</v>
      </c>
      <c r="I15" s="11">
        <v>1</v>
      </c>
      <c r="J15" s="9">
        <v>69016</v>
      </c>
      <c r="K15" s="10">
        <v>0.88</v>
      </c>
      <c r="L15" s="10">
        <v>0.8</v>
      </c>
      <c r="M15" s="11" t="s">
        <v>56</v>
      </c>
      <c r="N15" s="11" t="s">
        <v>55</v>
      </c>
      <c r="O15" s="11" t="s">
        <v>56</v>
      </c>
      <c r="P15" s="11">
        <v>52</v>
      </c>
      <c r="Q15" s="12">
        <v>166</v>
      </c>
      <c r="R15" s="10">
        <v>0.5</v>
      </c>
      <c r="S15" s="13">
        <v>60</v>
      </c>
      <c r="T15" s="13">
        <v>6</v>
      </c>
    </row>
    <row r="16" spans="1:20" ht="13.05" customHeight="1" x14ac:dyDescent="0.3">
      <c r="A16" s="17" t="s">
        <v>94</v>
      </c>
      <c r="B16" s="7" t="s">
        <v>16</v>
      </c>
      <c r="C16" s="14">
        <v>2</v>
      </c>
      <c r="D16" s="8">
        <v>5.0027996349999997</v>
      </c>
      <c r="E16" s="8">
        <v>4.5090292190000003</v>
      </c>
      <c r="F16" s="9">
        <v>4946.4670233488687</v>
      </c>
      <c r="G16" s="10">
        <v>0.90130118093366351</v>
      </c>
      <c r="H16" s="11">
        <v>5</v>
      </c>
      <c r="I16" s="11">
        <v>3</v>
      </c>
      <c r="J16" s="9">
        <v>9601</v>
      </c>
      <c r="K16" s="10">
        <v>1.05</v>
      </c>
      <c r="L16" s="10">
        <v>0.6</v>
      </c>
      <c r="M16" s="11" t="s">
        <v>56</v>
      </c>
      <c r="N16" s="11" t="s">
        <v>55</v>
      </c>
      <c r="O16" s="11" t="s">
        <v>56</v>
      </c>
      <c r="P16" s="11">
        <v>19</v>
      </c>
      <c r="Q16" s="12">
        <v>54</v>
      </c>
      <c r="R16" s="10">
        <v>0.7</v>
      </c>
      <c r="S16" s="13">
        <v>18</v>
      </c>
      <c r="T16" s="1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"/>
  <sheetViews>
    <sheetView zoomScale="90" zoomScaleNormal="9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A16" sqref="A16"/>
    </sheetView>
  </sheetViews>
  <sheetFormatPr baseColWidth="10" defaultColWidth="10.88671875" defaultRowHeight="13.8" x14ac:dyDescent="0.3"/>
  <cols>
    <col min="1" max="1" width="10.88671875" style="3" customWidth="1"/>
    <col min="2" max="2" width="12.21875" style="4" bestFit="1" customWidth="1"/>
    <col min="3" max="3" width="12.21875" style="4" customWidth="1"/>
    <col min="4" max="4" width="13.6640625" style="4" customWidth="1"/>
    <col min="5" max="5" width="13.88671875" style="3" customWidth="1"/>
    <col min="6" max="6" width="10.88671875" style="3" customWidth="1"/>
    <col min="7" max="7" width="12.21875" style="4" customWidth="1"/>
    <col min="8" max="9" width="13.44140625" style="3" customWidth="1"/>
    <col min="10" max="10" width="12.77734375" style="3" customWidth="1"/>
    <col min="11" max="12" width="10.88671875" style="3" customWidth="1"/>
    <col min="13" max="14" width="11.88671875" style="3" customWidth="1"/>
    <col min="15" max="15" width="10.88671875" style="3" customWidth="1"/>
    <col min="16" max="16384" width="10.88671875" style="3"/>
  </cols>
  <sheetData>
    <row r="1" spans="1:18" s="1" customFormat="1" ht="32.549999999999997" customHeight="1" x14ac:dyDescent="0.3">
      <c r="A1" s="5" t="s">
        <v>36</v>
      </c>
      <c r="B1" s="6" t="s">
        <v>37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  <c r="L1" s="6" t="s">
        <v>66</v>
      </c>
      <c r="M1" s="6" t="s">
        <v>67</v>
      </c>
      <c r="N1" s="6" t="s">
        <v>68</v>
      </c>
    </row>
    <row r="2" spans="1:18" ht="13.05" customHeight="1" x14ac:dyDescent="0.3">
      <c r="A2" s="17" t="s">
        <v>93</v>
      </c>
      <c r="B2" s="7" t="s">
        <v>2</v>
      </c>
      <c r="C2" s="9">
        <v>18511</v>
      </c>
      <c r="D2" s="8">
        <v>15000</v>
      </c>
      <c r="E2" s="9">
        <v>0</v>
      </c>
      <c r="F2" s="9">
        <v>6668.7957000000006</v>
      </c>
      <c r="G2" s="9">
        <v>11370.37131230926</v>
      </c>
      <c r="H2" s="9">
        <v>14425.153367243131</v>
      </c>
      <c r="I2" s="20">
        <f t="shared" ref="I2:I16" si="0">SUM(D2:H2)</f>
        <v>47464.320379552395</v>
      </c>
      <c r="J2" s="9">
        <v>7144.760000000002</v>
      </c>
      <c r="K2" s="9">
        <v>0</v>
      </c>
      <c r="L2" s="9">
        <v>44451</v>
      </c>
      <c r="M2" s="9">
        <v>43451</v>
      </c>
      <c r="N2" s="9">
        <v>0</v>
      </c>
      <c r="O2" s="2"/>
    </row>
    <row r="3" spans="1:18" ht="13.05" customHeight="1" x14ac:dyDescent="0.3">
      <c r="A3" s="17" t="s">
        <v>93</v>
      </c>
      <c r="B3" s="7" t="s">
        <v>69</v>
      </c>
      <c r="C3" s="9">
        <v>26878</v>
      </c>
      <c r="D3" s="8">
        <v>15000</v>
      </c>
      <c r="E3" s="9">
        <v>70212.869047619053</v>
      </c>
      <c r="F3" s="9">
        <v>9262.2162499999995</v>
      </c>
      <c r="G3" s="9">
        <v>27796.937955834379</v>
      </c>
      <c r="H3" s="9">
        <v>21152.791810293478</v>
      </c>
      <c r="I3" s="20">
        <f t="shared" si="0"/>
        <v>143424.81506374691</v>
      </c>
      <c r="J3" s="9">
        <v>81930.072</v>
      </c>
      <c r="K3" s="9">
        <v>142702.70270270269</v>
      </c>
      <c r="L3" s="9">
        <v>287249</v>
      </c>
      <c r="M3" s="9">
        <v>220687</v>
      </c>
      <c r="N3" s="9">
        <v>110343.5</v>
      </c>
      <c r="O3" s="2"/>
    </row>
    <row r="4" spans="1:18" ht="13.05" customHeight="1" x14ac:dyDescent="0.3">
      <c r="A4" s="17" t="s">
        <v>93</v>
      </c>
      <c r="B4" s="7" t="s">
        <v>3</v>
      </c>
      <c r="C4" s="9">
        <v>61087</v>
      </c>
      <c r="D4" s="8">
        <v>25000</v>
      </c>
      <c r="E4" s="9">
        <v>84255.442857142858</v>
      </c>
      <c r="F4" s="9">
        <v>11114.6595</v>
      </c>
      <c r="G4" s="9">
        <v>23591.833206203912</v>
      </c>
      <c r="H4" s="9">
        <v>18886.421259190611</v>
      </c>
      <c r="I4" s="20">
        <f t="shared" si="0"/>
        <v>162848.35682253737</v>
      </c>
      <c r="J4" s="9">
        <v>212307.9</v>
      </c>
      <c r="K4" s="9">
        <v>259459.4594594595</v>
      </c>
      <c r="L4" s="9">
        <v>378909</v>
      </c>
      <c r="M4" s="9">
        <v>157740</v>
      </c>
      <c r="N4" s="9">
        <v>112671.42857142859</v>
      </c>
      <c r="O4" s="2"/>
    </row>
    <row r="5" spans="1:18" ht="13.05" customHeight="1" x14ac:dyDescent="0.3">
      <c r="A5" s="17" t="s">
        <v>93</v>
      </c>
      <c r="B5" s="7" t="s">
        <v>4</v>
      </c>
      <c r="C5" s="9">
        <v>70898</v>
      </c>
      <c r="D5" s="8">
        <v>25000</v>
      </c>
      <c r="E5" s="9">
        <v>103915.04619047621</v>
      </c>
      <c r="F5" s="9">
        <v>13708.08005</v>
      </c>
      <c r="G5" s="9">
        <v>44202.766336130182</v>
      </c>
      <c r="H5" s="9">
        <v>19286.81338988545</v>
      </c>
      <c r="I5" s="20">
        <f t="shared" si="0"/>
        <v>206112.70596649183</v>
      </c>
      <c r="J5" s="9">
        <v>184000.18</v>
      </c>
      <c r="K5" s="9">
        <v>220540.5405405405</v>
      </c>
      <c r="L5" s="9">
        <v>411279</v>
      </c>
      <c r="M5" s="9">
        <v>368914</v>
      </c>
      <c r="N5" s="9">
        <v>230571.25</v>
      </c>
      <c r="O5" s="2"/>
    </row>
    <row r="6" spans="1:18" ht="13.05" customHeight="1" x14ac:dyDescent="0.3">
      <c r="A6" s="17" t="s">
        <v>93</v>
      </c>
      <c r="B6" s="7" t="s">
        <v>6</v>
      </c>
      <c r="C6" s="9">
        <v>14809</v>
      </c>
      <c r="D6" s="8">
        <v>15000</v>
      </c>
      <c r="E6" s="9">
        <v>0</v>
      </c>
      <c r="F6" s="9">
        <v>5927.8184000000001</v>
      </c>
      <c r="G6" s="9">
        <v>10505.161454360539</v>
      </c>
      <c r="H6" s="9">
        <v>11709.58118069818</v>
      </c>
      <c r="I6" s="20">
        <f t="shared" si="0"/>
        <v>43142.561035058723</v>
      </c>
      <c r="J6" s="9">
        <v>73600.071999999986</v>
      </c>
      <c r="K6" s="9">
        <v>103783.7837837838</v>
      </c>
      <c r="L6" s="9">
        <v>219880</v>
      </c>
      <c r="M6" s="9">
        <v>206497</v>
      </c>
      <c r="N6" s="9">
        <v>77436.375</v>
      </c>
      <c r="O6" s="2"/>
    </row>
    <row r="7" spans="1:18" ht="13.05" customHeight="1" x14ac:dyDescent="0.3">
      <c r="A7" s="17" t="s">
        <v>93</v>
      </c>
      <c r="B7" s="7" t="s">
        <v>7</v>
      </c>
      <c r="C7" s="9">
        <v>76636</v>
      </c>
      <c r="D7" s="8">
        <v>35000</v>
      </c>
      <c r="E7" s="9">
        <v>213447.12190476191</v>
      </c>
      <c r="F7" s="9">
        <v>28157.1374</v>
      </c>
      <c r="G7" s="9">
        <v>43677.87583195186</v>
      </c>
      <c r="H7" s="9">
        <v>49482.423699079387</v>
      </c>
      <c r="I7" s="20">
        <f t="shared" si="0"/>
        <v>369764.55883579311</v>
      </c>
      <c r="J7" s="9">
        <v>302730.288</v>
      </c>
      <c r="K7" s="9">
        <v>376216.21621621621</v>
      </c>
      <c r="L7" s="9">
        <v>523835</v>
      </c>
      <c r="M7" s="9">
        <v>297466</v>
      </c>
      <c r="N7" s="9">
        <v>220345.1851851852</v>
      </c>
      <c r="O7" s="2"/>
    </row>
    <row r="8" spans="1:18" ht="13.05" customHeight="1" x14ac:dyDescent="0.3">
      <c r="A8" s="17" t="s">
        <v>93</v>
      </c>
      <c r="B8" s="7" t="s">
        <v>8</v>
      </c>
      <c r="C8" s="9">
        <v>30543</v>
      </c>
      <c r="D8" s="8">
        <v>25000</v>
      </c>
      <c r="E8" s="9">
        <v>98298.016666666677</v>
      </c>
      <c r="F8" s="9">
        <v>12967.10275</v>
      </c>
      <c r="G8" s="9">
        <v>39945.634375794558</v>
      </c>
      <c r="H8" s="9">
        <v>13220.49488143342</v>
      </c>
      <c r="I8" s="20">
        <f t="shared" si="0"/>
        <v>189431.24867389468</v>
      </c>
      <c r="J8" s="9">
        <v>147200.144</v>
      </c>
      <c r="K8" s="9">
        <v>181621.6216216216</v>
      </c>
      <c r="L8" s="9">
        <v>277152</v>
      </c>
      <c r="M8" s="9">
        <v>123137</v>
      </c>
      <c r="N8" s="9">
        <v>94720.769230769234</v>
      </c>
      <c r="O8" s="2"/>
    </row>
    <row r="9" spans="1:18" ht="13.05" customHeight="1" x14ac:dyDescent="0.3">
      <c r="A9" s="17" t="s">
        <v>94</v>
      </c>
      <c r="B9" s="7" t="s">
        <v>9</v>
      </c>
      <c r="C9" s="9">
        <v>70420</v>
      </c>
      <c r="D9" s="8">
        <v>50000</v>
      </c>
      <c r="E9" s="9">
        <v>0</v>
      </c>
      <c r="F9" s="9">
        <f>9600*0</f>
        <v>0</v>
      </c>
      <c r="G9" s="9">
        <f>27945*0</f>
        <v>0</v>
      </c>
      <c r="H9" s="9">
        <f>34200*0</f>
        <v>0</v>
      </c>
      <c r="I9" s="20">
        <f t="shared" si="0"/>
        <v>50000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2"/>
      <c r="P9" s="15"/>
    </row>
    <row r="10" spans="1:18" ht="13.05" customHeight="1" x14ac:dyDescent="0.3">
      <c r="A10" s="17" t="s">
        <v>94</v>
      </c>
      <c r="B10" s="7" t="s">
        <v>10</v>
      </c>
      <c r="C10" s="9">
        <v>15920</v>
      </c>
      <c r="D10" s="8">
        <v>15000</v>
      </c>
      <c r="E10" s="9">
        <v>0</v>
      </c>
      <c r="F10" s="9">
        <v>3600</v>
      </c>
      <c r="G10" s="9">
        <v>12547</v>
      </c>
      <c r="H10" s="9">
        <v>3600</v>
      </c>
      <c r="I10" s="20">
        <f t="shared" si="0"/>
        <v>34747</v>
      </c>
      <c r="J10" s="9">
        <v>0</v>
      </c>
      <c r="K10" s="9">
        <v>0</v>
      </c>
      <c r="L10" s="9">
        <v>133781</v>
      </c>
      <c r="M10" s="9">
        <v>115803</v>
      </c>
      <c r="N10" s="9">
        <v>100862</v>
      </c>
      <c r="O10" s="2"/>
      <c r="P10" s="15"/>
      <c r="Q10" s="15"/>
      <c r="R10" s="15"/>
    </row>
    <row r="11" spans="1:18" ht="13.05" customHeight="1" x14ac:dyDescent="0.3">
      <c r="A11" s="17" t="s">
        <v>94</v>
      </c>
      <c r="B11" s="7" t="s">
        <v>11</v>
      </c>
      <c r="C11" s="9">
        <v>90320</v>
      </c>
      <c r="D11" s="8">
        <v>25000</v>
      </c>
      <c r="E11" s="9">
        <v>0</v>
      </c>
      <c r="F11" s="9">
        <v>15600</v>
      </c>
      <c r="G11" s="9">
        <v>57883</v>
      </c>
      <c r="H11" s="9">
        <v>8100</v>
      </c>
      <c r="I11" s="20">
        <f t="shared" si="0"/>
        <v>106583</v>
      </c>
      <c r="J11" s="9">
        <v>308459.675475</v>
      </c>
      <c r="K11" s="9">
        <v>0</v>
      </c>
      <c r="L11" s="9">
        <v>487872</v>
      </c>
      <c r="M11" s="9">
        <v>364795</v>
      </c>
      <c r="N11" s="9">
        <v>154945.83496052149</v>
      </c>
      <c r="O11" s="2"/>
      <c r="P11" s="15"/>
      <c r="Q11" s="15"/>
      <c r="R11" s="15"/>
    </row>
    <row r="12" spans="1:18" ht="13.05" customHeight="1" x14ac:dyDescent="0.3">
      <c r="A12" s="17" t="s">
        <v>94</v>
      </c>
      <c r="B12" s="7" t="s">
        <v>12</v>
      </c>
      <c r="C12" s="9">
        <v>24480</v>
      </c>
      <c r="D12" s="8">
        <v>15000</v>
      </c>
      <c r="E12" s="9">
        <v>0</v>
      </c>
      <c r="F12" s="9">
        <v>5560</v>
      </c>
      <c r="G12" s="9">
        <v>15273</v>
      </c>
      <c r="H12" s="9">
        <v>4500</v>
      </c>
      <c r="I12" s="20">
        <f t="shared" si="0"/>
        <v>40333</v>
      </c>
      <c r="J12" s="9">
        <v>176263</v>
      </c>
      <c r="K12" s="9">
        <v>0</v>
      </c>
      <c r="L12" s="9">
        <v>180753</v>
      </c>
      <c r="M12" s="9">
        <v>185549</v>
      </c>
      <c r="N12" s="9">
        <v>94573.81180473353</v>
      </c>
      <c r="O12" s="2"/>
      <c r="P12" s="15"/>
      <c r="Q12" s="15"/>
      <c r="R12" s="15"/>
    </row>
    <row r="13" spans="1:18" ht="13.05" customHeight="1" x14ac:dyDescent="0.3">
      <c r="A13" s="17" t="s">
        <v>94</v>
      </c>
      <c r="B13" s="7" t="s">
        <v>13</v>
      </c>
      <c r="C13" s="9">
        <v>10180</v>
      </c>
      <c r="D13" s="8">
        <v>5000</v>
      </c>
      <c r="E13" s="9">
        <v>0</v>
      </c>
      <c r="F13" s="9">
        <v>1440</v>
      </c>
      <c r="G13" s="9">
        <v>3746</v>
      </c>
      <c r="H13" s="9">
        <v>1800</v>
      </c>
      <c r="I13" s="20">
        <f t="shared" si="0"/>
        <v>11986</v>
      </c>
      <c r="J13" s="9">
        <v>88131</v>
      </c>
      <c r="K13" s="9">
        <v>0</v>
      </c>
      <c r="L13" s="9">
        <v>116598</v>
      </c>
      <c r="M13" s="9">
        <v>73392</v>
      </c>
      <c r="N13" s="9">
        <v>43642.31584092883</v>
      </c>
      <c r="O13" s="2"/>
      <c r="P13" s="15"/>
      <c r="Q13" s="15"/>
      <c r="R13" s="15"/>
    </row>
    <row r="14" spans="1:18" ht="13.05" customHeight="1" x14ac:dyDescent="0.3">
      <c r="A14" s="17" t="s">
        <v>94</v>
      </c>
      <c r="B14" s="7" t="s">
        <v>14</v>
      </c>
      <c r="C14" s="9">
        <v>109140</v>
      </c>
      <c r="D14" s="8">
        <v>50000</v>
      </c>
      <c r="E14" s="9">
        <v>369489</v>
      </c>
      <c r="F14" s="9">
        <v>44000</v>
      </c>
      <c r="G14" s="9">
        <v>73532</v>
      </c>
      <c r="H14" s="9">
        <v>20700</v>
      </c>
      <c r="I14" s="20">
        <f t="shared" si="0"/>
        <v>557721</v>
      </c>
      <c r="J14" s="9">
        <v>1189773</v>
      </c>
      <c r="K14" s="9">
        <v>0</v>
      </c>
      <c r="L14" s="9">
        <v>333663</v>
      </c>
      <c r="M14" s="9">
        <v>267903</v>
      </c>
      <c r="N14" s="9">
        <v>136549.4176951831</v>
      </c>
      <c r="O14" s="2"/>
      <c r="P14" s="15"/>
      <c r="Q14" s="15"/>
      <c r="R14" s="15"/>
    </row>
    <row r="15" spans="1:18" ht="13.05" customHeight="1" x14ac:dyDescent="0.3">
      <c r="A15" s="17" t="s">
        <v>94</v>
      </c>
      <c r="B15" s="7" t="s">
        <v>15</v>
      </c>
      <c r="C15" s="9">
        <v>56820</v>
      </c>
      <c r="D15" s="8">
        <v>35000</v>
      </c>
      <c r="E15" s="9">
        <v>0</v>
      </c>
      <c r="F15" s="9">
        <v>18560</v>
      </c>
      <c r="G15" s="9">
        <v>58580</v>
      </c>
      <c r="H15" s="9">
        <v>9000</v>
      </c>
      <c r="I15" s="20">
        <f t="shared" si="0"/>
        <v>121140</v>
      </c>
      <c r="J15" s="9">
        <v>925379</v>
      </c>
      <c r="K15" s="9">
        <v>0</v>
      </c>
      <c r="L15" s="9">
        <v>319639</v>
      </c>
      <c r="M15" s="9">
        <v>286043</v>
      </c>
      <c r="N15" s="9">
        <v>121496.1045782219</v>
      </c>
      <c r="O15" s="2"/>
      <c r="P15" s="15"/>
      <c r="Q15" s="15"/>
      <c r="R15" s="15"/>
    </row>
    <row r="16" spans="1:18" ht="13.05" customHeight="1" x14ac:dyDescent="0.3">
      <c r="A16" s="17" t="s">
        <v>94</v>
      </c>
      <c r="B16" s="7" t="s">
        <v>16</v>
      </c>
      <c r="C16" s="9">
        <v>27560</v>
      </c>
      <c r="D16" s="8">
        <v>15000</v>
      </c>
      <c r="E16" s="9">
        <v>0</v>
      </c>
      <c r="F16" s="9">
        <v>5320</v>
      </c>
      <c r="G16" s="9">
        <v>20351</v>
      </c>
      <c r="H16" s="9">
        <v>3600</v>
      </c>
      <c r="I16" s="20">
        <f t="shared" si="0"/>
        <v>44271</v>
      </c>
      <c r="J16" s="9">
        <v>88131</v>
      </c>
      <c r="K16" s="9">
        <v>0</v>
      </c>
      <c r="L16" s="9">
        <v>139767</v>
      </c>
      <c r="M16" s="9">
        <v>134417</v>
      </c>
      <c r="N16" s="9">
        <v>79930.635060907603</v>
      </c>
      <c r="O16" s="2"/>
      <c r="P16" s="15"/>
      <c r="Q16" s="15"/>
      <c r="R16" s="15"/>
    </row>
    <row r="18" spans="5:10" ht="13.05" customHeight="1" x14ac:dyDescent="0.3">
      <c r="E18" s="21"/>
      <c r="F18" s="21"/>
      <c r="I18" s="21"/>
      <c r="J18" s="21"/>
    </row>
    <row r="19" spans="5:10" ht="13.05" customHeight="1" x14ac:dyDescent="0.3">
      <c r="J19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zoomScaleNormal="100" workbookViewId="0">
      <selection activeCell="H3" sqref="H3"/>
    </sheetView>
  </sheetViews>
  <sheetFormatPr baseColWidth="10" defaultColWidth="10.88671875" defaultRowHeight="13.8" x14ac:dyDescent="0.3"/>
  <cols>
    <col min="1" max="1" width="26.77734375" style="4" customWidth="1"/>
    <col min="2" max="3" width="14.88671875" style="4" customWidth="1"/>
    <col min="4" max="4" width="15.77734375" style="4" customWidth="1"/>
    <col min="5" max="5" width="20.33203125" style="4" customWidth="1"/>
    <col min="6" max="6" width="22.5546875" style="4" bestFit="1" customWidth="1"/>
    <col min="7" max="7" width="10.21875" style="4" customWidth="1"/>
    <col min="8" max="8" width="9.88671875" style="4" bestFit="1" customWidth="1"/>
    <col min="9" max="9" width="10.88671875" style="3" customWidth="1"/>
    <col min="10" max="10" width="18.6640625" style="3" customWidth="1"/>
    <col min="11" max="11" width="10.88671875" style="3" customWidth="1"/>
    <col min="12" max="16384" width="10.88671875" style="3"/>
  </cols>
  <sheetData>
    <row r="1" spans="1:15" x14ac:dyDescent="0.3">
      <c r="A1" s="18" t="s">
        <v>70</v>
      </c>
      <c r="B1" s="18" t="s">
        <v>71</v>
      </c>
      <c r="C1" s="18" t="s">
        <v>72</v>
      </c>
      <c r="D1" s="18" t="s">
        <v>73</v>
      </c>
      <c r="E1" s="18" t="s">
        <v>74</v>
      </c>
      <c r="F1" s="18" t="s">
        <v>95</v>
      </c>
      <c r="G1" s="18" t="s">
        <v>100</v>
      </c>
      <c r="H1" s="18" t="s">
        <v>99</v>
      </c>
    </row>
    <row r="2" spans="1:15" x14ac:dyDescent="0.3">
      <c r="A2" s="11" t="s">
        <v>25</v>
      </c>
      <c r="B2" s="11" t="s">
        <v>75</v>
      </c>
      <c r="C2" s="11" t="s">
        <v>55</v>
      </c>
      <c r="D2" s="11" t="s">
        <v>76</v>
      </c>
      <c r="E2" s="19" t="s">
        <v>77</v>
      </c>
      <c r="F2" s="22">
        <v>36000</v>
      </c>
      <c r="G2" s="11">
        <v>1</v>
      </c>
      <c r="H2" s="11">
        <v>5</v>
      </c>
      <c r="N2" s="3" t="s">
        <v>34</v>
      </c>
      <c r="O2" s="3" t="s">
        <v>78</v>
      </c>
    </row>
    <row r="3" spans="1:15" x14ac:dyDescent="0.3">
      <c r="A3" s="11" t="s">
        <v>79</v>
      </c>
      <c r="B3" s="11" t="s">
        <v>80</v>
      </c>
      <c r="C3" s="11" t="s">
        <v>55</v>
      </c>
      <c r="D3" s="11" t="s">
        <v>76</v>
      </c>
      <c r="E3" s="19" t="s">
        <v>77</v>
      </c>
      <c r="F3" s="22">
        <v>35000</v>
      </c>
      <c r="G3" s="11">
        <v>1</v>
      </c>
      <c r="H3" s="11">
        <v>5</v>
      </c>
    </row>
    <row r="4" spans="1:15" x14ac:dyDescent="0.3">
      <c r="A4" s="11" t="s">
        <v>81</v>
      </c>
      <c r="B4" s="11" t="s">
        <v>80</v>
      </c>
      <c r="C4" s="11" t="s">
        <v>82</v>
      </c>
      <c r="D4" s="11" t="s">
        <v>76</v>
      </c>
      <c r="E4" s="19" t="s">
        <v>77</v>
      </c>
      <c r="F4" s="22">
        <v>25000</v>
      </c>
      <c r="G4" s="11">
        <v>1</v>
      </c>
      <c r="H4" s="11">
        <v>5</v>
      </c>
    </row>
    <row r="5" spans="1:15" x14ac:dyDescent="0.3">
      <c r="A5" s="11" t="s">
        <v>83</v>
      </c>
      <c r="B5" s="11" t="s">
        <v>80</v>
      </c>
      <c r="C5" s="11" t="s">
        <v>82</v>
      </c>
      <c r="D5" s="11" t="s">
        <v>76</v>
      </c>
      <c r="E5" s="19" t="s">
        <v>77</v>
      </c>
      <c r="F5" s="22">
        <v>25000</v>
      </c>
      <c r="G5" s="11">
        <v>1</v>
      </c>
      <c r="H5" s="11">
        <v>5</v>
      </c>
    </row>
    <row r="6" spans="1:15" x14ac:dyDescent="0.3">
      <c r="A6" s="11" t="s">
        <v>19</v>
      </c>
      <c r="B6" s="11" t="s">
        <v>84</v>
      </c>
      <c r="C6" s="11" t="s">
        <v>56</v>
      </c>
      <c r="D6" s="11" t="s">
        <v>76</v>
      </c>
      <c r="E6" s="19" t="s">
        <v>77</v>
      </c>
      <c r="F6" s="22">
        <v>16000</v>
      </c>
      <c r="G6" s="11">
        <v>1</v>
      </c>
      <c r="H6" s="11">
        <v>5</v>
      </c>
    </row>
    <row r="7" spans="1:15" x14ac:dyDescent="0.3">
      <c r="A7" s="11" t="s">
        <v>19</v>
      </c>
      <c r="B7" s="11" t="s">
        <v>84</v>
      </c>
      <c r="C7" s="11" t="s">
        <v>56</v>
      </c>
      <c r="D7" s="11" t="s">
        <v>85</v>
      </c>
      <c r="E7" s="19" t="s">
        <v>77</v>
      </c>
      <c r="F7" s="22">
        <v>16000</v>
      </c>
      <c r="G7" s="11">
        <v>1</v>
      </c>
      <c r="H7" s="11">
        <v>5</v>
      </c>
    </row>
    <row r="8" spans="1:15" x14ac:dyDescent="0.3">
      <c r="A8" s="11" t="s">
        <v>22</v>
      </c>
      <c r="B8" s="11" t="s">
        <v>84</v>
      </c>
      <c r="C8" s="11" t="s">
        <v>56</v>
      </c>
      <c r="D8" s="11" t="s">
        <v>76</v>
      </c>
      <c r="E8" s="11" t="s">
        <v>77</v>
      </c>
      <c r="F8" s="22">
        <v>42000</v>
      </c>
      <c r="G8" s="11">
        <v>1</v>
      </c>
      <c r="H8" s="11">
        <v>5</v>
      </c>
    </row>
    <row r="9" spans="1:15" x14ac:dyDescent="0.3">
      <c r="A9" s="11" t="s">
        <v>22</v>
      </c>
      <c r="B9" s="11" t="s">
        <v>84</v>
      </c>
      <c r="C9" s="11" t="s">
        <v>56</v>
      </c>
      <c r="D9" s="11" t="s">
        <v>85</v>
      </c>
      <c r="E9" s="11" t="s">
        <v>86</v>
      </c>
      <c r="F9" s="22">
        <v>43000</v>
      </c>
      <c r="G9" s="11">
        <v>1</v>
      </c>
      <c r="H9" s="11">
        <v>5</v>
      </c>
    </row>
    <row r="10" spans="1:15" x14ac:dyDescent="0.3">
      <c r="A10" s="11" t="s">
        <v>20</v>
      </c>
      <c r="B10" s="11" t="s">
        <v>84</v>
      </c>
      <c r="C10" s="11" t="s">
        <v>56</v>
      </c>
      <c r="D10" s="11" t="s">
        <v>76</v>
      </c>
      <c r="E10" s="11" t="s">
        <v>77</v>
      </c>
      <c r="F10" s="22">
        <v>35000</v>
      </c>
      <c r="G10" s="11">
        <v>1</v>
      </c>
      <c r="H10" s="11">
        <v>5</v>
      </c>
    </row>
    <row r="11" spans="1:15" x14ac:dyDescent="0.3">
      <c r="A11" s="11" t="s">
        <v>20</v>
      </c>
      <c r="B11" s="11" t="s">
        <v>84</v>
      </c>
      <c r="C11" s="11" t="s">
        <v>56</v>
      </c>
      <c r="D11" s="11" t="s">
        <v>85</v>
      </c>
      <c r="E11" s="11" t="s">
        <v>86</v>
      </c>
      <c r="F11" s="22">
        <v>35000</v>
      </c>
      <c r="G11" s="11">
        <v>1</v>
      </c>
      <c r="H11" s="11">
        <v>5</v>
      </c>
    </row>
    <row r="12" spans="1:15" x14ac:dyDescent="0.3">
      <c r="A12" s="11" t="s">
        <v>23</v>
      </c>
      <c r="B12" s="11" t="s">
        <v>75</v>
      </c>
      <c r="C12" s="11" t="s">
        <v>55</v>
      </c>
      <c r="D12" s="11" t="s">
        <v>76</v>
      </c>
      <c r="E12" s="11" t="s">
        <v>77</v>
      </c>
      <c r="F12" s="22">
        <v>62000</v>
      </c>
      <c r="G12" s="11">
        <v>1</v>
      </c>
      <c r="H12" s="11">
        <v>5</v>
      </c>
    </row>
    <row r="13" spans="1:15" x14ac:dyDescent="0.3">
      <c r="A13" s="11" t="s">
        <v>24</v>
      </c>
      <c r="B13" s="11" t="s">
        <v>75</v>
      </c>
      <c r="C13" s="11" t="s">
        <v>55</v>
      </c>
      <c r="D13" s="11" t="s">
        <v>76</v>
      </c>
      <c r="E13" s="11" t="s">
        <v>86</v>
      </c>
      <c r="F13" s="22">
        <v>55000</v>
      </c>
      <c r="G13" s="11">
        <v>1</v>
      </c>
      <c r="H13" s="11">
        <v>5</v>
      </c>
    </row>
    <row r="14" spans="1:15" x14ac:dyDescent="0.3">
      <c r="A14" s="11" t="s">
        <v>17</v>
      </c>
      <c r="B14" s="11" t="s">
        <v>75</v>
      </c>
      <c r="C14" s="11" t="s">
        <v>55</v>
      </c>
      <c r="D14" s="11" t="s">
        <v>76</v>
      </c>
      <c r="E14" s="11" t="s">
        <v>77</v>
      </c>
      <c r="F14" s="22">
        <v>48000</v>
      </c>
      <c r="G14" s="11">
        <v>1</v>
      </c>
      <c r="H14" s="11">
        <v>5</v>
      </c>
    </row>
    <row r="15" spans="1:15" x14ac:dyDescent="0.3">
      <c r="A15" s="11" t="s">
        <v>18</v>
      </c>
      <c r="B15" s="11" t="s">
        <v>75</v>
      </c>
      <c r="C15" s="11" t="s">
        <v>55</v>
      </c>
      <c r="D15" s="11" t="s">
        <v>76</v>
      </c>
      <c r="E15" s="11" t="s">
        <v>86</v>
      </c>
      <c r="F15" s="22">
        <v>45000</v>
      </c>
      <c r="G15" s="11">
        <v>1</v>
      </c>
      <c r="H15" s="11">
        <v>5</v>
      </c>
    </row>
    <row r="16" spans="1:15" x14ac:dyDescent="0.3">
      <c r="A16" s="11" t="s">
        <v>26</v>
      </c>
      <c r="B16" s="11" t="s">
        <v>75</v>
      </c>
      <c r="C16" s="11" t="s">
        <v>82</v>
      </c>
      <c r="D16" s="11" t="s">
        <v>76</v>
      </c>
      <c r="E16" s="11" t="s">
        <v>86</v>
      </c>
      <c r="F16" s="22">
        <v>35000</v>
      </c>
      <c r="G16" s="11">
        <v>1</v>
      </c>
      <c r="H16" s="11">
        <v>5</v>
      </c>
    </row>
    <row r="17" spans="1:8" x14ac:dyDescent="0.3">
      <c r="A17" s="11" t="s">
        <v>27</v>
      </c>
      <c r="B17" s="11" t="s">
        <v>84</v>
      </c>
      <c r="C17" s="11" t="s">
        <v>56</v>
      </c>
      <c r="D17" s="11" t="s">
        <v>85</v>
      </c>
      <c r="E17" s="11" t="s">
        <v>86</v>
      </c>
      <c r="F17" s="22">
        <v>28000</v>
      </c>
      <c r="G17" s="11">
        <v>1</v>
      </c>
      <c r="H17" s="11">
        <v>5</v>
      </c>
    </row>
    <row r="18" spans="1:8" x14ac:dyDescent="0.3">
      <c r="A18" s="11" t="s">
        <v>21</v>
      </c>
      <c r="B18" s="11" t="s">
        <v>75</v>
      </c>
      <c r="C18" s="11" t="s">
        <v>55</v>
      </c>
      <c r="D18" s="11" t="s">
        <v>85</v>
      </c>
      <c r="E18" s="11" t="s">
        <v>86</v>
      </c>
      <c r="F18" s="22">
        <v>36000</v>
      </c>
      <c r="G18" s="11">
        <v>2</v>
      </c>
      <c r="H18" s="11">
        <v>5</v>
      </c>
    </row>
    <row r="19" spans="1:8" x14ac:dyDescent="0.3">
      <c r="A19" s="11" t="s">
        <v>87</v>
      </c>
      <c r="B19" s="11" t="s">
        <v>75</v>
      </c>
      <c r="C19" s="11" t="s">
        <v>55</v>
      </c>
      <c r="D19" s="11" t="s">
        <v>85</v>
      </c>
      <c r="E19" s="11" t="s">
        <v>86</v>
      </c>
      <c r="F19" s="22">
        <v>22000</v>
      </c>
      <c r="G19" s="11">
        <v>2</v>
      </c>
      <c r="H19" s="11">
        <v>5</v>
      </c>
    </row>
    <row r="20" spans="1:8" x14ac:dyDescent="0.3">
      <c r="A20" s="3"/>
    </row>
    <row r="21" spans="1:8" x14ac:dyDescent="0.3">
      <c r="A2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5"/>
  <sheetViews>
    <sheetView zoomScale="145" zoomScaleNormal="145" workbookViewId="0">
      <selection activeCell="G24" sqref="G24"/>
    </sheetView>
  </sheetViews>
  <sheetFormatPr baseColWidth="10" defaultColWidth="10.88671875" defaultRowHeight="13.8" x14ac:dyDescent="0.3"/>
  <cols>
    <col min="1" max="1" width="10.88671875" style="3" customWidth="1"/>
    <col min="2" max="2" width="20.77734375" style="3" customWidth="1"/>
    <col min="3" max="3" width="12.77734375" style="4" customWidth="1"/>
    <col min="4" max="4" width="17.33203125" style="4" bestFit="1" customWidth="1"/>
    <col min="5" max="5" width="20.33203125" style="3" customWidth="1"/>
    <col min="6" max="6" width="10.88671875" style="3" customWidth="1"/>
    <col min="7" max="16384" width="10.88671875" style="3"/>
  </cols>
  <sheetData>
    <row r="1" spans="1:5" x14ac:dyDescent="0.3">
      <c r="A1" s="18" t="s">
        <v>1</v>
      </c>
      <c r="B1" s="18" t="s">
        <v>88</v>
      </c>
      <c r="C1" s="18" t="s">
        <v>89</v>
      </c>
      <c r="D1" s="18" t="s">
        <v>90</v>
      </c>
      <c r="E1" s="18" t="s">
        <v>91</v>
      </c>
    </row>
    <row r="2" spans="1:5" x14ac:dyDescent="0.3">
      <c r="A2" s="11">
        <v>1</v>
      </c>
      <c r="B2" s="13" t="s">
        <v>28</v>
      </c>
      <c r="C2" s="11">
        <v>1</v>
      </c>
      <c r="D2" s="11" t="s">
        <v>0</v>
      </c>
      <c r="E2" s="11">
        <v>5</v>
      </c>
    </row>
    <row r="3" spans="1:5" x14ac:dyDescent="0.3">
      <c r="A3" s="11">
        <v>1</v>
      </c>
      <c r="B3" s="13" t="s">
        <v>29</v>
      </c>
      <c r="C3" s="11">
        <v>2</v>
      </c>
      <c r="D3" s="11" t="s">
        <v>0</v>
      </c>
      <c r="E3" s="11">
        <v>2</v>
      </c>
    </row>
    <row r="4" spans="1:5" x14ac:dyDescent="0.3">
      <c r="A4" s="11">
        <v>1</v>
      </c>
      <c r="B4" s="13" t="s">
        <v>30</v>
      </c>
      <c r="C4" s="11">
        <v>3</v>
      </c>
      <c r="D4" s="11" t="s">
        <v>0</v>
      </c>
      <c r="E4" s="11">
        <v>1</v>
      </c>
    </row>
    <row r="5" spans="1:5" x14ac:dyDescent="0.3">
      <c r="A5" s="11">
        <v>1</v>
      </c>
      <c r="B5" s="13" t="s">
        <v>31</v>
      </c>
      <c r="C5" s="11">
        <v>4</v>
      </c>
      <c r="D5" s="11" t="s">
        <v>0</v>
      </c>
      <c r="E5" s="11">
        <v>2</v>
      </c>
    </row>
    <row r="6" spans="1:5" x14ac:dyDescent="0.3">
      <c r="A6" s="11">
        <v>1</v>
      </c>
      <c r="B6" s="13" t="s">
        <v>32</v>
      </c>
      <c r="C6" s="11">
        <v>5</v>
      </c>
      <c r="D6" s="11" t="s">
        <v>0</v>
      </c>
      <c r="E6" s="11">
        <v>3</v>
      </c>
    </row>
    <row r="7" spans="1:5" x14ac:dyDescent="0.3">
      <c r="A7" s="11">
        <v>1</v>
      </c>
      <c r="B7" s="13" t="s">
        <v>33</v>
      </c>
      <c r="C7" s="11">
        <v>6</v>
      </c>
      <c r="D7" s="11" t="s">
        <v>0</v>
      </c>
      <c r="E7" s="11">
        <v>1</v>
      </c>
    </row>
    <row r="8" spans="1:5" x14ac:dyDescent="0.3">
      <c r="A8" s="11">
        <v>1</v>
      </c>
      <c r="B8" s="13" t="s">
        <v>34</v>
      </c>
      <c r="C8" s="11">
        <v>7</v>
      </c>
      <c r="D8" s="11" t="s">
        <v>0</v>
      </c>
      <c r="E8" s="11">
        <v>1</v>
      </c>
    </row>
    <row r="9" spans="1:5" x14ac:dyDescent="0.3">
      <c r="A9" s="11">
        <v>1</v>
      </c>
      <c r="B9" s="13" t="s">
        <v>35</v>
      </c>
      <c r="C9" s="11">
        <v>8</v>
      </c>
      <c r="D9" s="11" t="s">
        <v>0</v>
      </c>
      <c r="E9" s="11">
        <v>4</v>
      </c>
    </row>
    <row r="10" spans="1:5" x14ac:dyDescent="0.3">
      <c r="A10" s="11">
        <v>2</v>
      </c>
      <c r="B10" s="13" t="s">
        <v>28</v>
      </c>
      <c r="C10" s="11">
        <v>1</v>
      </c>
      <c r="D10" s="11" t="s">
        <v>0</v>
      </c>
      <c r="E10" s="11">
        <v>4</v>
      </c>
    </row>
    <row r="11" spans="1:5" x14ac:dyDescent="0.3">
      <c r="A11" s="11">
        <v>2</v>
      </c>
      <c r="B11" s="13" t="s">
        <v>29</v>
      </c>
      <c r="C11" s="11">
        <v>2</v>
      </c>
      <c r="D11" s="11" t="s">
        <v>0</v>
      </c>
      <c r="E11" s="11">
        <v>1</v>
      </c>
    </row>
    <row r="12" spans="1:5" x14ac:dyDescent="0.3">
      <c r="A12" s="11">
        <v>2</v>
      </c>
      <c r="B12" s="13" t="s">
        <v>30</v>
      </c>
      <c r="C12" s="11">
        <v>3</v>
      </c>
      <c r="D12" s="11" t="s">
        <v>0</v>
      </c>
      <c r="E12" s="11">
        <v>1</v>
      </c>
    </row>
    <row r="13" spans="1:5" x14ac:dyDescent="0.3">
      <c r="A13" s="11">
        <v>2</v>
      </c>
      <c r="B13" s="13" t="s">
        <v>31</v>
      </c>
      <c r="C13" s="11">
        <v>4</v>
      </c>
      <c r="D13" s="11" t="s">
        <v>0</v>
      </c>
      <c r="E13" s="11">
        <v>2</v>
      </c>
    </row>
    <row r="14" spans="1:5" x14ac:dyDescent="0.3">
      <c r="A14" s="11">
        <v>2</v>
      </c>
      <c r="B14" s="13" t="s">
        <v>32</v>
      </c>
      <c r="C14" s="11">
        <v>5</v>
      </c>
      <c r="D14" s="11" t="s">
        <v>0</v>
      </c>
      <c r="E14" s="11">
        <v>2</v>
      </c>
    </row>
    <row r="15" spans="1:5" x14ac:dyDescent="0.3">
      <c r="A15" s="11">
        <v>2</v>
      </c>
      <c r="B15" s="13" t="s">
        <v>33</v>
      </c>
      <c r="C15" s="11">
        <v>6</v>
      </c>
      <c r="D15" s="11" t="s">
        <v>0</v>
      </c>
      <c r="E15" s="11">
        <v>1</v>
      </c>
    </row>
    <row r="16" spans="1:5" x14ac:dyDescent="0.3">
      <c r="A16" s="11">
        <v>2</v>
      </c>
      <c r="B16" s="13" t="s">
        <v>34</v>
      </c>
      <c r="C16" s="11">
        <v>7</v>
      </c>
      <c r="D16" s="11" t="s">
        <v>0</v>
      </c>
      <c r="E16" s="11">
        <v>1</v>
      </c>
    </row>
    <row r="17" spans="1:5" x14ac:dyDescent="0.3">
      <c r="A17" s="11">
        <v>2</v>
      </c>
      <c r="B17" s="13" t="s">
        <v>35</v>
      </c>
      <c r="C17" s="11">
        <v>8</v>
      </c>
      <c r="D17" s="11" t="s">
        <v>0</v>
      </c>
      <c r="E17" s="11">
        <v>4</v>
      </c>
    </row>
    <row r="18" spans="1:5" x14ac:dyDescent="0.3">
      <c r="A18" s="11">
        <v>3</v>
      </c>
      <c r="B18" s="13" t="s">
        <v>28</v>
      </c>
      <c r="C18" s="11">
        <v>1</v>
      </c>
      <c r="D18" s="11" t="s">
        <v>0</v>
      </c>
      <c r="E18" s="11">
        <v>4</v>
      </c>
    </row>
    <row r="19" spans="1:5" x14ac:dyDescent="0.3">
      <c r="A19" s="11">
        <v>3</v>
      </c>
      <c r="B19" s="13" t="s">
        <v>29</v>
      </c>
      <c r="C19" s="11">
        <v>2</v>
      </c>
      <c r="D19" s="11" t="s">
        <v>0</v>
      </c>
      <c r="E19" s="11">
        <v>1</v>
      </c>
    </row>
    <row r="20" spans="1:5" x14ac:dyDescent="0.3">
      <c r="A20" s="11">
        <v>3</v>
      </c>
      <c r="B20" s="13" t="s">
        <v>30</v>
      </c>
      <c r="C20" s="11">
        <v>3</v>
      </c>
      <c r="D20" s="11" t="s">
        <v>0</v>
      </c>
      <c r="E20" s="11">
        <v>1</v>
      </c>
    </row>
    <row r="21" spans="1:5" x14ac:dyDescent="0.3">
      <c r="A21" s="11">
        <v>3</v>
      </c>
      <c r="B21" s="13" t="s">
        <v>31</v>
      </c>
      <c r="C21" s="11">
        <v>4</v>
      </c>
      <c r="D21" s="11" t="s">
        <v>0</v>
      </c>
      <c r="E21" s="11">
        <v>1</v>
      </c>
    </row>
    <row r="22" spans="1:5" x14ac:dyDescent="0.3">
      <c r="A22" s="11">
        <v>3</v>
      </c>
      <c r="B22" s="13" t="s">
        <v>32</v>
      </c>
      <c r="C22" s="11">
        <v>5</v>
      </c>
      <c r="D22" s="11" t="s">
        <v>0</v>
      </c>
      <c r="E22" s="11">
        <v>2</v>
      </c>
    </row>
    <row r="23" spans="1:5" x14ac:dyDescent="0.3">
      <c r="A23" s="11">
        <v>3</v>
      </c>
      <c r="B23" s="13" t="s">
        <v>33</v>
      </c>
      <c r="C23" s="11">
        <v>6</v>
      </c>
      <c r="D23" s="11" t="s">
        <v>0</v>
      </c>
      <c r="E23" s="11">
        <v>1</v>
      </c>
    </row>
    <row r="24" spans="1:5" x14ac:dyDescent="0.3">
      <c r="A24" s="11">
        <v>3</v>
      </c>
      <c r="B24" s="13" t="s">
        <v>34</v>
      </c>
      <c r="C24" s="11">
        <v>7</v>
      </c>
      <c r="D24" s="11" t="s">
        <v>0</v>
      </c>
      <c r="E24" s="11">
        <v>1</v>
      </c>
    </row>
    <row r="25" spans="1:5" x14ac:dyDescent="0.3">
      <c r="A25" s="11">
        <v>3</v>
      </c>
      <c r="B25" s="13" t="s">
        <v>35</v>
      </c>
      <c r="C25" s="11">
        <v>8</v>
      </c>
      <c r="D25" s="11" t="s">
        <v>0</v>
      </c>
      <c r="E25" s="11">
        <v>4</v>
      </c>
    </row>
    <row r="26" spans="1:5" x14ac:dyDescent="0.3">
      <c r="A26" s="11">
        <v>4</v>
      </c>
      <c r="B26" s="13" t="s">
        <v>28</v>
      </c>
      <c r="C26" s="11">
        <v>1</v>
      </c>
      <c r="D26" s="11" t="s">
        <v>0</v>
      </c>
      <c r="E26" s="11">
        <v>2</v>
      </c>
    </row>
    <row r="27" spans="1:5" x14ac:dyDescent="0.3">
      <c r="A27" s="11">
        <v>4</v>
      </c>
      <c r="B27" s="13" t="s">
        <v>29</v>
      </c>
      <c r="C27" s="11">
        <v>2</v>
      </c>
      <c r="D27" s="11" t="s">
        <v>0</v>
      </c>
      <c r="E27" s="11">
        <v>0</v>
      </c>
    </row>
    <row r="28" spans="1:5" x14ac:dyDescent="0.3">
      <c r="A28" s="11">
        <v>4</v>
      </c>
      <c r="B28" s="13" t="s">
        <v>30</v>
      </c>
      <c r="C28" s="11">
        <v>3</v>
      </c>
      <c r="D28" s="11" t="s">
        <v>0</v>
      </c>
      <c r="E28" s="11">
        <v>1</v>
      </c>
    </row>
    <row r="29" spans="1:5" x14ac:dyDescent="0.3">
      <c r="A29" s="11">
        <v>4</v>
      </c>
      <c r="B29" s="13" t="s">
        <v>31</v>
      </c>
      <c r="C29" s="11">
        <v>4</v>
      </c>
      <c r="D29" s="11" t="s">
        <v>0</v>
      </c>
      <c r="E29" s="11">
        <v>1</v>
      </c>
    </row>
    <row r="30" spans="1:5" x14ac:dyDescent="0.3">
      <c r="A30" s="11">
        <v>4</v>
      </c>
      <c r="B30" s="13" t="s">
        <v>32</v>
      </c>
      <c r="C30" s="11">
        <v>5</v>
      </c>
      <c r="D30" s="11" t="s">
        <v>0</v>
      </c>
      <c r="E30" s="11">
        <v>1</v>
      </c>
    </row>
    <row r="31" spans="1:5" x14ac:dyDescent="0.3">
      <c r="A31" s="11">
        <v>4</v>
      </c>
      <c r="B31" s="13" t="s">
        <v>33</v>
      </c>
      <c r="C31" s="11">
        <v>6</v>
      </c>
      <c r="D31" s="11" t="s">
        <v>0</v>
      </c>
      <c r="E31" s="11">
        <v>1</v>
      </c>
    </row>
    <row r="32" spans="1:5" x14ac:dyDescent="0.3">
      <c r="A32" s="11">
        <v>4</v>
      </c>
      <c r="B32" s="13" t="s">
        <v>34</v>
      </c>
      <c r="C32" s="11">
        <v>7</v>
      </c>
      <c r="D32" s="11" t="s">
        <v>0</v>
      </c>
      <c r="E32" s="11">
        <v>1</v>
      </c>
    </row>
    <row r="33" spans="1:5" x14ac:dyDescent="0.3">
      <c r="A33" s="11">
        <v>4</v>
      </c>
      <c r="B33" s="13" t="s">
        <v>35</v>
      </c>
      <c r="C33" s="11">
        <v>8</v>
      </c>
      <c r="D33" s="11" t="s">
        <v>0</v>
      </c>
      <c r="E33" s="11">
        <v>3</v>
      </c>
    </row>
    <row r="34" spans="1:5" x14ac:dyDescent="0.3">
      <c r="A34" s="11">
        <v>1</v>
      </c>
      <c r="B34" s="13" t="s">
        <v>28</v>
      </c>
      <c r="C34" s="11">
        <v>1</v>
      </c>
      <c r="D34" s="11" t="s">
        <v>5</v>
      </c>
      <c r="E34" s="11">
        <v>4</v>
      </c>
    </row>
    <row r="35" spans="1:5" x14ac:dyDescent="0.3">
      <c r="A35" s="11">
        <v>1</v>
      </c>
      <c r="B35" s="13" t="s">
        <v>29</v>
      </c>
      <c r="C35" s="11">
        <v>2</v>
      </c>
      <c r="D35" s="11" t="s">
        <v>5</v>
      </c>
      <c r="E35" s="11">
        <v>1</v>
      </c>
    </row>
    <row r="36" spans="1:5" x14ac:dyDescent="0.3">
      <c r="A36" s="11">
        <v>1</v>
      </c>
      <c r="B36" s="13" t="s">
        <v>30</v>
      </c>
      <c r="C36" s="11">
        <v>3</v>
      </c>
      <c r="D36" s="11" t="s">
        <v>5</v>
      </c>
      <c r="E36" s="11">
        <v>1</v>
      </c>
    </row>
    <row r="37" spans="1:5" x14ac:dyDescent="0.3">
      <c r="A37" s="11">
        <v>1</v>
      </c>
      <c r="B37" s="13" t="s">
        <v>31</v>
      </c>
      <c r="C37" s="11">
        <v>4</v>
      </c>
      <c r="D37" s="11" t="s">
        <v>5</v>
      </c>
      <c r="E37" s="11">
        <v>1</v>
      </c>
    </row>
    <row r="38" spans="1:5" x14ac:dyDescent="0.3">
      <c r="A38" s="11">
        <v>1</v>
      </c>
      <c r="B38" s="13" t="s">
        <v>32</v>
      </c>
      <c r="C38" s="11">
        <v>5</v>
      </c>
      <c r="D38" s="11" t="s">
        <v>5</v>
      </c>
      <c r="E38" s="11">
        <v>2</v>
      </c>
    </row>
    <row r="39" spans="1:5" x14ac:dyDescent="0.3">
      <c r="A39" s="11">
        <v>1</v>
      </c>
      <c r="B39" s="13" t="s">
        <v>33</v>
      </c>
      <c r="C39" s="11">
        <v>6</v>
      </c>
      <c r="D39" s="11" t="s">
        <v>5</v>
      </c>
      <c r="E39" s="11">
        <v>1</v>
      </c>
    </row>
    <row r="40" spans="1:5" x14ac:dyDescent="0.3">
      <c r="A40" s="11">
        <v>1</v>
      </c>
      <c r="B40" s="13" t="s">
        <v>34</v>
      </c>
      <c r="C40" s="11">
        <v>7</v>
      </c>
      <c r="D40" s="11" t="s">
        <v>5</v>
      </c>
      <c r="E40" s="11">
        <v>1</v>
      </c>
    </row>
    <row r="41" spans="1:5" x14ac:dyDescent="0.3">
      <c r="A41" s="11">
        <v>1</v>
      </c>
      <c r="B41" s="13" t="s">
        <v>35</v>
      </c>
      <c r="C41" s="11">
        <v>8</v>
      </c>
      <c r="D41" s="11" t="s">
        <v>5</v>
      </c>
      <c r="E41" s="11">
        <v>4</v>
      </c>
    </row>
    <row r="42" spans="1:5" x14ac:dyDescent="0.3">
      <c r="A42" s="11">
        <v>2</v>
      </c>
      <c r="B42" s="13" t="s">
        <v>28</v>
      </c>
      <c r="C42" s="11">
        <v>1</v>
      </c>
      <c r="D42" s="11" t="s">
        <v>5</v>
      </c>
      <c r="E42" s="11">
        <v>4</v>
      </c>
    </row>
    <row r="43" spans="1:5" x14ac:dyDescent="0.3">
      <c r="A43" s="11">
        <v>2</v>
      </c>
      <c r="B43" s="13" t="s">
        <v>29</v>
      </c>
      <c r="C43" s="11">
        <v>2</v>
      </c>
      <c r="D43" s="11" t="s">
        <v>5</v>
      </c>
      <c r="E43" s="11">
        <v>1</v>
      </c>
    </row>
    <row r="44" spans="1:5" x14ac:dyDescent="0.3">
      <c r="A44" s="11">
        <v>2</v>
      </c>
      <c r="B44" s="13" t="s">
        <v>30</v>
      </c>
      <c r="C44" s="11">
        <v>3</v>
      </c>
      <c r="D44" s="11" t="s">
        <v>5</v>
      </c>
      <c r="E44" s="11">
        <v>1</v>
      </c>
    </row>
    <row r="45" spans="1:5" x14ac:dyDescent="0.3">
      <c r="A45" s="11">
        <v>2</v>
      </c>
      <c r="B45" s="13" t="s">
        <v>31</v>
      </c>
      <c r="C45" s="11">
        <v>4</v>
      </c>
      <c r="D45" s="11" t="s">
        <v>5</v>
      </c>
      <c r="E45" s="11">
        <v>1</v>
      </c>
    </row>
    <row r="46" spans="1:5" x14ac:dyDescent="0.3">
      <c r="A46" s="11">
        <v>2</v>
      </c>
      <c r="B46" s="13" t="s">
        <v>32</v>
      </c>
      <c r="C46" s="11">
        <v>5</v>
      </c>
      <c r="D46" s="11" t="s">
        <v>5</v>
      </c>
      <c r="E46" s="11">
        <v>2</v>
      </c>
    </row>
    <row r="47" spans="1:5" x14ac:dyDescent="0.3">
      <c r="A47" s="11">
        <v>2</v>
      </c>
      <c r="B47" s="13" t="s">
        <v>33</v>
      </c>
      <c r="C47" s="11">
        <v>6</v>
      </c>
      <c r="D47" s="11" t="s">
        <v>5</v>
      </c>
      <c r="E47" s="11">
        <v>1</v>
      </c>
    </row>
    <row r="48" spans="1:5" x14ac:dyDescent="0.3">
      <c r="A48" s="11">
        <v>2</v>
      </c>
      <c r="B48" s="13" t="s">
        <v>34</v>
      </c>
      <c r="C48" s="11">
        <v>7</v>
      </c>
      <c r="D48" s="11" t="s">
        <v>5</v>
      </c>
      <c r="E48" s="11">
        <v>1</v>
      </c>
    </row>
    <row r="49" spans="1:5" x14ac:dyDescent="0.3">
      <c r="A49" s="11">
        <v>2</v>
      </c>
      <c r="B49" s="13" t="s">
        <v>35</v>
      </c>
      <c r="C49" s="11">
        <v>8</v>
      </c>
      <c r="D49" s="11" t="s">
        <v>5</v>
      </c>
      <c r="E49" s="11">
        <v>4</v>
      </c>
    </row>
    <row r="50" spans="1:5" x14ac:dyDescent="0.3">
      <c r="A50" s="11">
        <v>3</v>
      </c>
      <c r="B50" s="13" t="s">
        <v>28</v>
      </c>
      <c r="C50" s="11">
        <v>1</v>
      </c>
      <c r="D50" s="11" t="s">
        <v>5</v>
      </c>
      <c r="E50" s="11">
        <v>4</v>
      </c>
    </row>
    <row r="51" spans="1:5" x14ac:dyDescent="0.3">
      <c r="A51" s="11">
        <v>3</v>
      </c>
      <c r="B51" s="13" t="s">
        <v>29</v>
      </c>
      <c r="C51" s="11">
        <v>2</v>
      </c>
      <c r="D51" s="11" t="s">
        <v>5</v>
      </c>
      <c r="E51" s="11">
        <v>1</v>
      </c>
    </row>
    <row r="52" spans="1:5" x14ac:dyDescent="0.3">
      <c r="A52" s="11">
        <v>3</v>
      </c>
      <c r="B52" s="13" t="s">
        <v>30</v>
      </c>
      <c r="C52" s="11">
        <v>3</v>
      </c>
      <c r="D52" s="11" t="s">
        <v>5</v>
      </c>
      <c r="E52" s="11">
        <v>1</v>
      </c>
    </row>
    <row r="53" spans="1:5" x14ac:dyDescent="0.3">
      <c r="A53" s="11">
        <v>3</v>
      </c>
      <c r="B53" s="13" t="s">
        <v>31</v>
      </c>
      <c r="C53" s="11">
        <v>4</v>
      </c>
      <c r="D53" s="11" t="s">
        <v>5</v>
      </c>
      <c r="E53" s="11">
        <v>1</v>
      </c>
    </row>
    <row r="54" spans="1:5" x14ac:dyDescent="0.3">
      <c r="A54" s="11">
        <v>3</v>
      </c>
      <c r="B54" s="13" t="s">
        <v>32</v>
      </c>
      <c r="C54" s="11">
        <v>5</v>
      </c>
      <c r="D54" s="11" t="s">
        <v>5</v>
      </c>
      <c r="E54" s="11">
        <v>2</v>
      </c>
    </row>
    <row r="55" spans="1:5" x14ac:dyDescent="0.3">
      <c r="A55" s="11">
        <v>3</v>
      </c>
      <c r="B55" s="13" t="s">
        <v>33</v>
      </c>
      <c r="C55" s="11">
        <v>6</v>
      </c>
      <c r="D55" s="11" t="s">
        <v>5</v>
      </c>
      <c r="E55" s="11">
        <v>1</v>
      </c>
    </row>
    <row r="56" spans="1:5" x14ac:dyDescent="0.3">
      <c r="A56" s="11">
        <v>3</v>
      </c>
      <c r="B56" s="13" t="s">
        <v>34</v>
      </c>
      <c r="C56" s="11">
        <v>7</v>
      </c>
      <c r="D56" s="11" t="s">
        <v>5</v>
      </c>
      <c r="E56" s="11">
        <v>1</v>
      </c>
    </row>
    <row r="57" spans="1:5" x14ac:dyDescent="0.3">
      <c r="A57" s="11">
        <v>3</v>
      </c>
      <c r="B57" s="13" t="s">
        <v>35</v>
      </c>
      <c r="C57" s="11">
        <v>8</v>
      </c>
      <c r="D57" s="11" t="s">
        <v>5</v>
      </c>
      <c r="E57" s="11">
        <v>4</v>
      </c>
    </row>
    <row r="58" spans="1:5" x14ac:dyDescent="0.3">
      <c r="A58" s="11">
        <v>4</v>
      </c>
      <c r="B58" s="13" t="s">
        <v>28</v>
      </c>
      <c r="C58" s="11">
        <v>1</v>
      </c>
      <c r="D58" s="11" t="s">
        <v>5</v>
      </c>
      <c r="E58" s="11">
        <v>2</v>
      </c>
    </row>
    <row r="59" spans="1:5" x14ac:dyDescent="0.3">
      <c r="A59" s="11">
        <v>4</v>
      </c>
      <c r="B59" s="13" t="s">
        <v>29</v>
      </c>
      <c r="C59" s="11">
        <v>2</v>
      </c>
      <c r="D59" s="11" t="s">
        <v>5</v>
      </c>
      <c r="E59" s="11">
        <v>0</v>
      </c>
    </row>
    <row r="60" spans="1:5" x14ac:dyDescent="0.3">
      <c r="A60" s="11">
        <v>4</v>
      </c>
      <c r="B60" s="13" t="s">
        <v>30</v>
      </c>
      <c r="C60" s="11">
        <v>3</v>
      </c>
      <c r="D60" s="11" t="s">
        <v>5</v>
      </c>
      <c r="E60" s="11">
        <v>1</v>
      </c>
    </row>
    <row r="61" spans="1:5" x14ac:dyDescent="0.3">
      <c r="A61" s="11">
        <v>4</v>
      </c>
      <c r="B61" s="13" t="s">
        <v>31</v>
      </c>
      <c r="C61" s="11">
        <v>4</v>
      </c>
      <c r="D61" s="11" t="s">
        <v>5</v>
      </c>
      <c r="E61" s="11">
        <v>1</v>
      </c>
    </row>
    <row r="62" spans="1:5" x14ac:dyDescent="0.3">
      <c r="A62" s="11">
        <v>4</v>
      </c>
      <c r="B62" s="13" t="s">
        <v>32</v>
      </c>
      <c r="C62" s="11">
        <v>5</v>
      </c>
      <c r="D62" s="11" t="s">
        <v>5</v>
      </c>
      <c r="E62" s="11">
        <v>1</v>
      </c>
    </row>
    <row r="63" spans="1:5" x14ac:dyDescent="0.3">
      <c r="A63" s="11">
        <v>4</v>
      </c>
      <c r="B63" s="13" t="s">
        <v>33</v>
      </c>
      <c r="C63" s="11">
        <v>6</v>
      </c>
      <c r="D63" s="11" t="s">
        <v>5</v>
      </c>
      <c r="E63" s="11">
        <v>1</v>
      </c>
    </row>
    <row r="64" spans="1:5" x14ac:dyDescent="0.3">
      <c r="A64" s="11">
        <v>4</v>
      </c>
      <c r="B64" s="13" t="s">
        <v>34</v>
      </c>
      <c r="C64" s="11">
        <v>7</v>
      </c>
      <c r="D64" s="11" t="s">
        <v>5</v>
      </c>
      <c r="E64" s="11">
        <v>1</v>
      </c>
    </row>
    <row r="65" spans="1:5" x14ac:dyDescent="0.3">
      <c r="A65" s="11">
        <v>4</v>
      </c>
      <c r="B65" s="13" t="s">
        <v>35</v>
      </c>
      <c r="C65" s="11">
        <v>8</v>
      </c>
      <c r="D65" s="11" t="s">
        <v>5</v>
      </c>
      <c r="E65" s="11">
        <v>3</v>
      </c>
    </row>
  </sheetData>
  <autoFilter ref="A1:E65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7"/>
  <sheetViews>
    <sheetView zoomScale="130" zoomScaleNormal="130" workbookViewId="0">
      <selection activeCell="E1" sqref="E1:E1048576"/>
    </sheetView>
  </sheetViews>
  <sheetFormatPr baseColWidth="10" defaultColWidth="10.88671875" defaultRowHeight="13.05" customHeight="1" x14ac:dyDescent="0.3"/>
  <cols>
    <col min="1" max="1" width="10.88671875" style="4" customWidth="1"/>
    <col min="2" max="2" width="20.77734375" style="3" customWidth="1"/>
    <col min="3" max="3" width="24.33203125" style="4" customWidth="1"/>
    <col min="4" max="4" width="23.109375" style="4" bestFit="1" customWidth="1"/>
    <col min="5" max="5" width="11.5546875" customWidth="1"/>
    <col min="6" max="6" width="10.88671875" style="3" customWidth="1"/>
    <col min="7" max="16384" width="10.88671875" style="3"/>
  </cols>
  <sheetData>
    <row r="1" spans="1:6" ht="13.05" customHeight="1" x14ac:dyDescent="0.3">
      <c r="A1" s="18" t="s">
        <v>1</v>
      </c>
      <c r="B1" s="18" t="s">
        <v>88</v>
      </c>
      <c r="C1" s="18" t="s">
        <v>70</v>
      </c>
      <c r="D1" s="18" t="s">
        <v>92</v>
      </c>
    </row>
    <row r="2" spans="1:6" ht="13.05" customHeight="1" x14ac:dyDescent="0.3">
      <c r="A2" s="11">
        <v>1</v>
      </c>
      <c r="B2" s="13" t="s">
        <v>28</v>
      </c>
      <c r="C2" s="11" t="s">
        <v>22</v>
      </c>
      <c r="D2" s="19">
        <v>1</v>
      </c>
      <c r="F2" s="16"/>
    </row>
    <row r="3" spans="1:6" ht="13.05" customHeight="1" x14ac:dyDescent="0.3">
      <c r="A3" s="11">
        <v>1</v>
      </c>
      <c r="B3" s="13" t="s">
        <v>28</v>
      </c>
      <c r="C3" s="11" t="s">
        <v>23</v>
      </c>
      <c r="D3" s="19">
        <v>0.5</v>
      </c>
      <c r="F3" s="16"/>
    </row>
    <row r="4" spans="1:6" ht="13.05" customHeight="1" x14ac:dyDescent="0.3">
      <c r="A4" s="11">
        <v>1</v>
      </c>
      <c r="B4" s="13" t="s">
        <v>29</v>
      </c>
      <c r="C4" s="11" t="s">
        <v>25</v>
      </c>
      <c r="D4" s="19">
        <v>1</v>
      </c>
      <c r="F4" s="16"/>
    </row>
    <row r="5" spans="1:6" ht="13.05" customHeight="1" x14ac:dyDescent="0.3">
      <c r="A5" s="11">
        <v>1</v>
      </c>
      <c r="B5" s="13" t="s">
        <v>29</v>
      </c>
      <c r="C5" s="11" t="s">
        <v>23</v>
      </c>
      <c r="D5" s="19">
        <v>0.5</v>
      </c>
      <c r="F5" s="16"/>
    </row>
    <row r="6" spans="1:6" ht="13.05" customHeight="1" x14ac:dyDescent="0.3">
      <c r="A6" s="11">
        <v>1</v>
      </c>
      <c r="B6" s="13" t="s">
        <v>29</v>
      </c>
      <c r="C6" s="11" t="s">
        <v>24</v>
      </c>
      <c r="D6" s="19">
        <v>0.5</v>
      </c>
      <c r="F6" s="16"/>
    </row>
    <row r="7" spans="1:6" ht="13.05" customHeight="1" x14ac:dyDescent="0.3">
      <c r="A7" s="11">
        <v>1</v>
      </c>
      <c r="B7" s="13" t="s">
        <v>29</v>
      </c>
      <c r="C7" s="11" t="s">
        <v>17</v>
      </c>
      <c r="D7" s="19">
        <v>0.5</v>
      </c>
      <c r="F7" s="16"/>
    </row>
    <row r="8" spans="1:6" ht="13.05" customHeight="1" x14ac:dyDescent="0.3">
      <c r="A8" s="11">
        <v>1</v>
      </c>
      <c r="B8" s="13" t="s">
        <v>29</v>
      </c>
      <c r="C8" s="11" t="s">
        <v>18</v>
      </c>
      <c r="D8" s="19">
        <v>0.5</v>
      </c>
      <c r="F8" s="16"/>
    </row>
    <row r="9" spans="1:6" ht="13.05" customHeight="1" x14ac:dyDescent="0.3">
      <c r="A9" s="11">
        <v>1</v>
      </c>
      <c r="B9" s="13" t="s">
        <v>29</v>
      </c>
      <c r="C9" s="11" t="s">
        <v>26</v>
      </c>
      <c r="D9" s="19">
        <v>1</v>
      </c>
      <c r="F9" s="16"/>
    </row>
    <row r="10" spans="1:6" ht="13.05" customHeight="1" x14ac:dyDescent="0.3">
      <c r="A10" s="11">
        <v>1</v>
      </c>
      <c r="B10" s="13" t="s">
        <v>29</v>
      </c>
      <c r="C10" s="11" t="s">
        <v>20</v>
      </c>
      <c r="D10" s="19">
        <v>1</v>
      </c>
      <c r="F10" s="16"/>
    </row>
    <row r="11" spans="1:6" ht="13.05" customHeight="1" x14ac:dyDescent="0.3">
      <c r="A11" s="11">
        <v>1</v>
      </c>
      <c r="B11" s="13" t="s">
        <v>29</v>
      </c>
      <c r="C11" s="11" t="s">
        <v>27</v>
      </c>
      <c r="D11" s="19">
        <v>1</v>
      </c>
      <c r="F11" s="16"/>
    </row>
    <row r="12" spans="1:6" ht="13.05" customHeight="1" x14ac:dyDescent="0.3">
      <c r="A12" s="11">
        <v>1</v>
      </c>
      <c r="B12" s="13" t="s">
        <v>29</v>
      </c>
      <c r="C12" s="11" t="s">
        <v>22</v>
      </c>
      <c r="D12" s="19">
        <v>1</v>
      </c>
      <c r="F12" s="16"/>
    </row>
    <row r="13" spans="1:6" ht="13.05" customHeight="1" x14ac:dyDescent="0.3">
      <c r="A13" s="11">
        <v>1</v>
      </c>
      <c r="B13" s="13" t="s">
        <v>29</v>
      </c>
      <c r="C13" s="11" t="s">
        <v>21</v>
      </c>
      <c r="D13" s="19">
        <v>1</v>
      </c>
      <c r="F13" s="16"/>
    </row>
    <row r="14" spans="1:6" ht="13.05" customHeight="1" x14ac:dyDescent="0.3">
      <c r="A14" s="11">
        <v>1</v>
      </c>
      <c r="B14" s="13" t="s">
        <v>30</v>
      </c>
      <c r="C14" s="11" t="s">
        <v>25</v>
      </c>
      <c r="D14" s="19">
        <v>0.5</v>
      </c>
      <c r="F14" s="16"/>
    </row>
    <row r="15" spans="1:6" ht="13.05" customHeight="1" x14ac:dyDescent="0.3">
      <c r="A15" s="11">
        <v>1</v>
      </c>
      <c r="B15" s="13" t="s">
        <v>30</v>
      </c>
      <c r="C15" s="11" t="s">
        <v>19</v>
      </c>
      <c r="D15" s="19">
        <v>1</v>
      </c>
      <c r="F15" s="16"/>
    </row>
    <row r="16" spans="1:6" ht="13.05" customHeight="1" x14ac:dyDescent="0.3">
      <c r="A16" s="11">
        <v>1</v>
      </c>
      <c r="B16" s="13" t="s">
        <v>30</v>
      </c>
      <c r="C16" s="11" t="s">
        <v>23</v>
      </c>
      <c r="D16" s="19">
        <v>0.5</v>
      </c>
      <c r="F16" s="16"/>
    </row>
    <row r="17" spans="1:6" ht="13.05" customHeight="1" x14ac:dyDescent="0.3">
      <c r="A17" s="11">
        <v>1</v>
      </c>
      <c r="B17" s="13" t="s">
        <v>30</v>
      </c>
      <c r="C17" s="11" t="s">
        <v>24</v>
      </c>
      <c r="D17" s="19">
        <v>0.5</v>
      </c>
      <c r="F17" s="16"/>
    </row>
    <row r="18" spans="1:6" ht="13.05" customHeight="1" x14ac:dyDescent="0.3">
      <c r="A18" s="11">
        <v>1</v>
      </c>
      <c r="B18" s="13" t="s">
        <v>30</v>
      </c>
      <c r="C18" s="11" t="s">
        <v>17</v>
      </c>
      <c r="D18" s="19">
        <v>0.5</v>
      </c>
      <c r="F18" s="16"/>
    </row>
    <row r="19" spans="1:6" ht="13.05" customHeight="1" x14ac:dyDescent="0.3">
      <c r="A19" s="11">
        <v>1</v>
      </c>
      <c r="B19" s="13" t="s">
        <v>30</v>
      </c>
      <c r="C19" s="11" t="s">
        <v>18</v>
      </c>
      <c r="D19" s="19">
        <v>0.5</v>
      </c>
      <c r="F19" s="16"/>
    </row>
    <row r="20" spans="1:6" ht="13.05" customHeight="1" x14ac:dyDescent="0.3">
      <c r="A20" s="11">
        <v>1</v>
      </c>
      <c r="B20" s="13" t="s">
        <v>30</v>
      </c>
      <c r="C20" s="11" t="s">
        <v>26</v>
      </c>
      <c r="D20" s="19">
        <v>0.5</v>
      </c>
      <c r="F20" s="16"/>
    </row>
    <row r="21" spans="1:6" ht="13.05" customHeight="1" x14ac:dyDescent="0.3">
      <c r="A21" s="11">
        <v>1</v>
      </c>
      <c r="B21" s="13" t="s">
        <v>30</v>
      </c>
      <c r="C21" s="11" t="s">
        <v>20</v>
      </c>
      <c r="D21" s="19">
        <v>1</v>
      </c>
      <c r="F21" s="16"/>
    </row>
    <row r="22" spans="1:6" ht="13.05" customHeight="1" x14ac:dyDescent="0.3">
      <c r="A22" s="11">
        <v>1</v>
      </c>
      <c r="B22" s="13" t="s">
        <v>30</v>
      </c>
      <c r="C22" s="11" t="s">
        <v>27</v>
      </c>
      <c r="D22" s="19">
        <v>1</v>
      </c>
      <c r="F22" s="16"/>
    </row>
    <row r="23" spans="1:6" ht="13.05" customHeight="1" x14ac:dyDescent="0.3">
      <c r="A23" s="11">
        <v>1</v>
      </c>
      <c r="B23" s="13" t="s">
        <v>31</v>
      </c>
      <c r="C23" s="11" t="s">
        <v>25</v>
      </c>
      <c r="D23" s="19">
        <v>0.5</v>
      </c>
      <c r="F23" s="16"/>
    </row>
    <row r="24" spans="1:6" ht="13.05" customHeight="1" x14ac:dyDescent="0.3">
      <c r="A24" s="11">
        <v>1</v>
      </c>
      <c r="B24" s="13" t="s">
        <v>31</v>
      </c>
      <c r="C24" s="11" t="s">
        <v>19</v>
      </c>
      <c r="D24" s="19">
        <v>1</v>
      </c>
      <c r="F24" s="16"/>
    </row>
    <row r="25" spans="1:6" ht="13.05" customHeight="1" x14ac:dyDescent="0.3">
      <c r="A25" s="11">
        <v>1</v>
      </c>
      <c r="B25" s="13" t="s">
        <v>31</v>
      </c>
      <c r="C25" s="11" t="s">
        <v>23</v>
      </c>
      <c r="D25" s="19">
        <v>0.5</v>
      </c>
      <c r="F25" s="16"/>
    </row>
    <row r="26" spans="1:6" ht="13.05" customHeight="1" x14ac:dyDescent="0.3">
      <c r="A26" s="11">
        <v>1</v>
      </c>
      <c r="B26" s="13" t="s">
        <v>31</v>
      </c>
      <c r="C26" s="11" t="s">
        <v>24</v>
      </c>
      <c r="D26" s="19">
        <v>0.5</v>
      </c>
      <c r="F26" s="16"/>
    </row>
    <row r="27" spans="1:6" ht="13.05" customHeight="1" x14ac:dyDescent="0.3">
      <c r="A27" s="11">
        <v>1</v>
      </c>
      <c r="B27" s="13" t="s">
        <v>31</v>
      </c>
      <c r="C27" s="11" t="s">
        <v>17</v>
      </c>
      <c r="D27" s="19">
        <v>0.5</v>
      </c>
      <c r="F27" s="16"/>
    </row>
    <row r="28" spans="1:6" ht="13.05" customHeight="1" x14ac:dyDescent="0.3">
      <c r="A28" s="11">
        <v>1</v>
      </c>
      <c r="B28" s="13" t="s">
        <v>31</v>
      </c>
      <c r="C28" s="11" t="s">
        <v>18</v>
      </c>
      <c r="D28" s="19">
        <v>0.5</v>
      </c>
      <c r="F28" s="16"/>
    </row>
    <row r="29" spans="1:6" ht="13.05" customHeight="1" x14ac:dyDescent="0.3">
      <c r="A29" s="11">
        <v>1</v>
      </c>
      <c r="B29" s="13" t="s">
        <v>31</v>
      </c>
      <c r="C29" s="11" t="s">
        <v>26</v>
      </c>
      <c r="D29" s="19">
        <v>0.5</v>
      </c>
      <c r="F29" s="16"/>
    </row>
    <row r="30" spans="1:6" ht="13.05" customHeight="1" x14ac:dyDescent="0.3">
      <c r="A30" s="11">
        <v>1</v>
      </c>
      <c r="B30" s="13" t="s">
        <v>31</v>
      </c>
      <c r="C30" s="11" t="s">
        <v>20</v>
      </c>
      <c r="D30" s="19">
        <v>1</v>
      </c>
      <c r="F30" s="16"/>
    </row>
    <row r="31" spans="1:6" ht="13.05" customHeight="1" x14ac:dyDescent="0.3">
      <c r="A31" s="11">
        <v>1</v>
      </c>
      <c r="B31" s="13" t="s">
        <v>31</v>
      </c>
      <c r="C31" s="11" t="s">
        <v>27</v>
      </c>
      <c r="D31" s="19">
        <v>1</v>
      </c>
      <c r="F31" s="16"/>
    </row>
    <row r="32" spans="1:6" ht="13.05" customHeight="1" x14ac:dyDescent="0.3">
      <c r="A32" s="11">
        <v>1</v>
      </c>
      <c r="B32" s="13" t="s">
        <v>32</v>
      </c>
      <c r="C32" s="11" t="s">
        <v>19</v>
      </c>
      <c r="D32" s="19">
        <v>1</v>
      </c>
      <c r="F32" s="16"/>
    </row>
    <row r="33" spans="1:6" ht="13.05" customHeight="1" x14ac:dyDescent="0.3">
      <c r="A33" s="11">
        <v>1</v>
      </c>
      <c r="B33" s="13" t="s">
        <v>32</v>
      </c>
      <c r="C33" s="11" t="s">
        <v>27</v>
      </c>
      <c r="D33" s="19">
        <v>1</v>
      </c>
      <c r="F33" s="16"/>
    </row>
    <row r="34" spans="1:6" ht="13.05" customHeight="1" x14ac:dyDescent="0.3">
      <c r="A34" s="11">
        <v>1</v>
      </c>
      <c r="B34" s="13" t="s">
        <v>33</v>
      </c>
      <c r="C34" s="11" t="s">
        <v>25</v>
      </c>
      <c r="D34" s="19">
        <v>0.5</v>
      </c>
      <c r="F34" s="16"/>
    </row>
    <row r="35" spans="1:6" ht="13.05" customHeight="1" x14ac:dyDescent="0.3">
      <c r="A35" s="11">
        <v>1</v>
      </c>
      <c r="B35" s="13" t="s">
        <v>33</v>
      </c>
      <c r="C35" s="11" t="s">
        <v>19</v>
      </c>
      <c r="D35" s="19">
        <v>1</v>
      </c>
      <c r="F35" s="16"/>
    </row>
    <row r="36" spans="1:6" ht="13.05" customHeight="1" x14ac:dyDescent="0.3">
      <c r="A36" s="11">
        <v>1</v>
      </c>
      <c r="B36" s="13" t="s">
        <v>33</v>
      </c>
      <c r="C36" s="11" t="s">
        <v>17</v>
      </c>
      <c r="D36" s="19">
        <v>0.75</v>
      </c>
      <c r="F36" s="16"/>
    </row>
    <row r="37" spans="1:6" ht="13.05" customHeight="1" x14ac:dyDescent="0.3">
      <c r="A37" s="11">
        <v>1</v>
      </c>
      <c r="B37" s="13" t="s">
        <v>33</v>
      </c>
      <c r="C37" s="11" t="s">
        <v>18</v>
      </c>
      <c r="D37" s="19">
        <v>0.75</v>
      </c>
      <c r="F37" s="16"/>
    </row>
    <row r="38" spans="1:6" ht="13.05" customHeight="1" x14ac:dyDescent="0.3">
      <c r="A38" s="11">
        <v>1</v>
      </c>
      <c r="B38" s="13" t="s">
        <v>33</v>
      </c>
      <c r="C38" s="11" t="s">
        <v>20</v>
      </c>
      <c r="D38" s="19">
        <v>1</v>
      </c>
      <c r="F38" s="16"/>
    </row>
    <row r="39" spans="1:6" ht="13.05" customHeight="1" x14ac:dyDescent="0.3">
      <c r="A39" s="11">
        <v>1</v>
      </c>
      <c r="B39" s="13" t="s">
        <v>33</v>
      </c>
      <c r="C39" s="11" t="s">
        <v>27</v>
      </c>
      <c r="D39" s="19">
        <v>1</v>
      </c>
      <c r="F39" s="16"/>
    </row>
    <row r="40" spans="1:6" ht="13.05" customHeight="1" x14ac:dyDescent="0.3">
      <c r="A40" s="11">
        <v>1</v>
      </c>
      <c r="B40" s="13" t="s">
        <v>33</v>
      </c>
      <c r="C40" s="11" t="s">
        <v>21</v>
      </c>
      <c r="D40" s="19">
        <v>1</v>
      </c>
      <c r="F40" s="16"/>
    </row>
    <row r="41" spans="1:6" ht="13.05" customHeight="1" x14ac:dyDescent="0.3">
      <c r="A41" s="11">
        <v>1</v>
      </c>
      <c r="B41" s="13" t="s">
        <v>34</v>
      </c>
      <c r="C41" s="11" t="s">
        <v>25</v>
      </c>
      <c r="D41" s="19">
        <v>1</v>
      </c>
      <c r="F41" s="16"/>
    </row>
    <row r="42" spans="1:6" ht="13.05" customHeight="1" x14ac:dyDescent="0.3">
      <c r="A42" s="11">
        <v>1</v>
      </c>
      <c r="B42" s="13" t="s">
        <v>34</v>
      </c>
      <c r="C42" s="11" t="s">
        <v>19</v>
      </c>
      <c r="D42" s="19">
        <v>1</v>
      </c>
      <c r="F42" s="16"/>
    </row>
    <row r="43" spans="1:6" ht="13.05" customHeight="1" x14ac:dyDescent="0.3">
      <c r="A43" s="11">
        <v>1</v>
      </c>
      <c r="B43" s="13" t="s">
        <v>34</v>
      </c>
      <c r="C43" s="11" t="s">
        <v>23</v>
      </c>
      <c r="D43" s="19">
        <v>1</v>
      </c>
      <c r="F43" s="16"/>
    </row>
    <row r="44" spans="1:6" ht="13.05" customHeight="1" x14ac:dyDescent="0.3">
      <c r="A44" s="11">
        <v>1</v>
      </c>
      <c r="B44" s="13" t="s">
        <v>34</v>
      </c>
      <c r="C44" s="11" t="s">
        <v>24</v>
      </c>
      <c r="D44" s="19">
        <v>1</v>
      </c>
      <c r="F44" s="16"/>
    </row>
    <row r="45" spans="1:6" ht="13.05" customHeight="1" x14ac:dyDescent="0.3">
      <c r="A45" s="11">
        <v>1</v>
      </c>
      <c r="B45" s="13" t="s">
        <v>34</v>
      </c>
      <c r="C45" s="11" t="s">
        <v>17</v>
      </c>
      <c r="D45" s="19">
        <v>1</v>
      </c>
      <c r="F45" s="16"/>
    </row>
    <row r="46" spans="1:6" ht="13.05" customHeight="1" x14ac:dyDescent="0.3">
      <c r="A46" s="11">
        <v>1</v>
      </c>
      <c r="B46" s="13" t="s">
        <v>34</v>
      </c>
      <c r="C46" s="11" t="s">
        <v>18</v>
      </c>
      <c r="D46" s="19">
        <v>1</v>
      </c>
      <c r="F46" s="16"/>
    </row>
    <row r="47" spans="1:6" ht="13.05" customHeight="1" x14ac:dyDescent="0.3">
      <c r="A47" s="11">
        <v>1</v>
      </c>
      <c r="B47" s="13" t="s">
        <v>34</v>
      </c>
      <c r="C47" s="11" t="s">
        <v>20</v>
      </c>
      <c r="D47" s="19">
        <v>1</v>
      </c>
      <c r="F47" s="16"/>
    </row>
    <row r="48" spans="1:6" ht="13.05" customHeight="1" x14ac:dyDescent="0.3">
      <c r="A48" s="11">
        <v>1</v>
      </c>
      <c r="B48" s="13" t="s">
        <v>34</v>
      </c>
      <c r="C48" s="11" t="s">
        <v>27</v>
      </c>
      <c r="D48" s="19">
        <v>1</v>
      </c>
      <c r="F48" s="16"/>
    </row>
    <row r="49" spans="1:6" ht="13.05" customHeight="1" x14ac:dyDescent="0.3">
      <c r="A49" s="11">
        <v>1</v>
      </c>
      <c r="B49" s="13" t="s">
        <v>34</v>
      </c>
      <c r="C49" s="11" t="s">
        <v>22</v>
      </c>
      <c r="D49" s="19">
        <v>1</v>
      </c>
      <c r="F49" s="16"/>
    </row>
    <row r="50" spans="1:6" ht="13.05" customHeight="1" x14ac:dyDescent="0.3">
      <c r="A50" s="11">
        <v>1</v>
      </c>
      <c r="B50" s="13" t="s">
        <v>34</v>
      </c>
      <c r="C50" s="11" t="s">
        <v>21</v>
      </c>
      <c r="D50" s="19">
        <v>1</v>
      </c>
      <c r="F50" s="16"/>
    </row>
    <row r="51" spans="1:6" ht="13.05" customHeight="1" x14ac:dyDescent="0.3">
      <c r="A51" s="11">
        <v>1</v>
      </c>
      <c r="B51" s="13" t="s">
        <v>35</v>
      </c>
      <c r="C51" s="11" t="s">
        <v>25</v>
      </c>
      <c r="D51" s="19">
        <v>0.5</v>
      </c>
      <c r="F51" s="16"/>
    </row>
    <row r="52" spans="1:6" ht="13.05" customHeight="1" x14ac:dyDescent="0.3">
      <c r="A52" s="11">
        <v>1</v>
      </c>
      <c r="B52" s="13" t="s">
        <v>35</v>
      </c>
      <c r="C52" s="11" t="s">
        <v>19</v>
      </c>
      <c r="D52" s="19">
        <v>1</v>
      </c>
      <c r="F52" s="16"/>
    </row>
    <row r="53" spans="1:6" ht="13.05" customHeight="1" x14ac:dyDescent="0.3">
      <c r="A53" s="11">
        <v>1</v>
      </c>
      <c r="B53" s="13" t="s">
        <v>35</v>
      </c>
      <c r="C53" s="11" t="s">
        <v>23</v>
      </c>
      <c r="D53" s="19">
        <v>0.5</v>
      </c>
      <c r="F53" s="16"/>
    </row>
    <row r="54" spans="1:6" ht="13.05" customHeight="1" x14ac:dyDescent="0.3">
      <c r="A54" s="11">
        <v>1</v>
      </c>
      <c r="B54" s="13" t="s">
        <v>35</v>
      </c>
      <c r="C54" s="11" t="s">
        <v>24</v>
      </c>
      <c r="D54" s="19">
        <v>0.5</v>
      </c>
      <c r="F54" s="16"/>
    </row>
    <row r="55" spans="1:6" ht="13.05" customHeight="1" x14ac:dyDescent="0.3">
      <c r="A55" s="11">
        <v>1</v>
      </c>
      <c r="B55" s="13" t="s">
        <v>35</v>
      </c>
      <c r="C55" s="11" t="s">
        <v>17</v>
      </c>
      <c r="D55" s="19">
        <v>0.5</v>
      </c>
      <c r="F55" s="16"/>
    </row>
    <row r="56" spans="1:6" ht="13.05" customHeight="1" x14ac:dyDescent="0.3">
      <c r="A56" s="11">
        <v>1</v>
      </c>
      <c r="B56" s="13" t="s">
        <v>35</v>
      </c>
      <c r="C56" s="11" t="s">
        <v>18</v>
      </c>
      <c r="D56" s="19">
        <v>0.5</v>
      </c>
      <c r="F56" s="16"/>
    </row>
    <row r="57" spans="1:6" ht="13.05" customHeight="1" x14ac:dyDescent="0.3">
      <c r="A57" s="11">
        <v>1</v>
      </c>
      <c r="B57" s="13" t="s">
        <v>35</v>
      </c>
      <c r="C57" s="11" t="s">
        <v>20</v>
      </c>
      <c r="D57" s="19">
        <v>1</v>
      </c>
      <c r="F57" s="16"/>
    </row>
    <row r="58" spans="1:6" ht="13.05" customHeight="1" x14ac:dyDescent="0.3">
      <c r="A58" s="11">
        <v>1</v>
      </c>
      <c r="B58" s="13" t="s">
        <v>35</v>
      </c>
      <c r="C58" s="11" t="s">
        <v>20</v>
      </c>
      <c r="D58" s="19">
        <v>1</v>
      </c>
      <c r="F58" s="16"/>
    </row>
    <row r="59" spans="1:6" ht="13.05" customHeight="1" x14ac:dyDescent="0.3">
      <c r="A59" s="11">
        <v>1</v>
      </c>
      <c r="B59" s="13" t="s">
        <v>35</v>
      </c>
      <c r="C59" s="11" t="s">
        <v>27</v>
      </c>
      <c r="D59" s="19">
        <v>1</v>
      </c>
      <c r="F59" s="16"/>
    </row>
    <row r="60" spans="1:6" ht="13.05" customHeight="1" x14ac:dyDescent="0.3">
      <c r="A60" s="11">
        <v>1</v>
      </c>
      <c r="B60" s="13" t="s">
        <v>35</v>
      </c>
      <c r="C60" s="11" t="s">
        <v>27</v>
      </c>
      <c r="D60" s="19">
        <v>1</v>
      </c>
      <c r="F60" s="16"/>
    </row>
    <row r="61" spans="1:6" ht="13.05" customHeight="1" x14ac:dyDescent="0.3">
      <c r="A61" s="11">
        <v>1</v>
      </c>
      <c r="B61" s="13" t="s">
        <v>35</v>
      </c>
      <c r="C61" s="11" t="s">
        <v>27</v>
      </c>
      <c r="D61" s="19">
        <v>1</v>
      </c>
      <c r="F61" s="16"/>
    </row>
    <row r="62" spans="1:6" ht="13.05" customHeight="1" x14ac:dyDescent="0.3">
      <c r="A62" s="11">
        <v>1</v>
      </c>
      <c r="B62" s="13" t="s">
        <v>35</v>
      </c>
      <c r="C62" s="11" t="s">
        <v>22</v>
      </c>
      <c r="D62" s="19">
        <v>1</v>
      </c>
    </row>
    <row r="63" spans="1:6" ht="13.05" customHeight="1" x14ac:dyDescent="0.3">
      <c r="A63" s="11">
        <v>1</v>
      </c>
      <c r="B63" s="13" t="s">
        <v>35</v>
      </c>
      <c r="C63" s="11" t="s">
        <v>21</v>
      </c>
      <c r="D63" s="19">
        <v>0.5</v>
      </c>
    </row>
    <row r="64" spans="1:6" ht="13.05" customHeight="1" x14ac:dyDescent="0.3">
      <c r="A64" s="11">
        <v>2</v>
      </c>
      <c r="B64" s="13" t="s">
        <v>28</v>
      </c>
      <c r="C64" s="11" t="s">
        <v>22</v>
      </c>
      <c r="D64" s="19">
        <v>1</v>
      </c>
    </row>
    <row r="65" spans="1:4" ht="13.05" customHeight="1" x14ac:dyDescent="0.3">
      <c r="A65" s="11">
        <v>2</v>
      </c>
      <c r="B65" s="13" t="s">
        <v>28</v>
      </c>
      <c r="C65" s="11" t="s">
        <v>23</v>
      </c>
      <c r="D65" s="19">
        <v>0.5</v>
      </c>
    </row>
    <row r="66" spans="1:4" ht="13.05" customHeight="1" x14ac:dyDescent="0.3">
      <c r="A66" s="11">
        <v>2</v>
      </c>
      <c r="B66" s="13" t="s">
        <v>29</v>
      </c>
      <c r="C66" s="11" t="s">
        <v>25</v>
      </c>
      <c r="D66" s="19">
        <v>1</v>
      </c>
    </row>
    <row r="67" spans="1:4" ht="13.05" customHeight="1" x14ac:dyDescent="0.3">
      <c r="A67" s="11">
        <v>2</v>
      </c>
      <c r="B67" s="13" t="s">
        <v>29</v>
      </c>
      <c r="C67" s="11" t="s">
        <v>23</v>
      </c>
      <c r="D67" s="19">
        <v>0.5</v>
      </c>
    </row>
    <row r="68" spans="1:4" ht="13.05" customHeight="1" x14ac:dyDescent="0.3">
      <c r="A68" s="11">
        <v>2</v>
      </c>
      <c r="B68" s="13" t="s">
        <v>29</v>
      </c>
      <c r="C68" s="11" t="s">
        <v>24</v>
      </c>
      <c r="D68" s="19">
        <v>0.5</v>
      </c>
    </row>
    <row r="69" spans="1:4" ht="13.05" customHeight="1" x14ac:dyDescent="0.3">
      <c r="A69" s="11">
        <v>2</v>
      </c>
      <c r="B69" s="13" t="s">
        <v>29</v>
      </c>
      <c r="C69" s="11" t="s">
        <v>17</v>
      </c>
      <c r="D69" s="19">
        <v>0.5</v>
      </c>
    </row>
    <row r="70" spans="1:4" ht="13.05" customHeight="1" x14ac:dyDescent="0.3">
      <c r="A70" s="11">
        <v>2</v>
      </c>
      <c r="B70" s="13" t="s">
        <v>29</v>
      </c>
      <c r="C70" s="11" t="s">
        <v>18</v>
      </c>
      <c r="D70" s="19">
        <v>0.5</v>
      </c>
    </row>
    <row r="71" spans="1:4" ht="13.05" customHeight="1" x14ac:dyDescent="0.3">
      <c r="A71" s="11">
        <v>2</v>
      </c>
      <c r="B71" s="13" t="s">
        <v>29</v>
      </c>
      <c r="C71" s="11" t="s">
        <v>26</v>
      </c>
      <c r="D71" s="19">
        <v>1</v>
      </c>
    </row>
    <row r="72" spans="1:4" ht="13.05" customHeight="1" x14ac:dyDescent="0.3">
      <c r="A72" s="11">
        <v>2</v>
      </c>
      <c r="B72" s="13" t="s">
        <v>29</v>
      </c>
      <c r="C72" s="11" t="s">
        <v>20</v>
      </c>
      <c r="D72" s="19">
        <v>1</v>
      </c>
    </row>
    <row r="73" spans="1:4" ht="13.05" customHeight="1" x14ac:dyDescent="0.3">
      <c r="A73" s="11">
        <v>2</v>
      </c>
      <c r="B73" s="13" t="s">
        <v>29</v>
      </c>
      <c r="C73" s="11" t="s">
        <v>27</v>
      </c>
      <c r="D73" s="19">
        <v>1</v>
      </c>
    </row>
    <row r="74" spans="1:4" ht="13.05" customHeight="1" x14ac:dyDescent="0.3">
      <c r="A74" s="11">
        <v>2</v>
      </c>
      <c r="B74" s="13" t="s">
        <v>29</v>
      </c>
      <c r="C74" s="11" t="s">
        <v>22</v>
      </c>
      <c r="D74" s="19">
        <v>1</v>
      </c>
    </row>
    <row r="75" spans="1:4" ht="13.05" customHeight="1" x14ac:dyDescent="0.3">
      <c r="A75" s="11">
        <v>2</v>
      </c>
      <c r="B75" s="13" t="s">
        <v>29</v>
      </c>
      <c r="C75" s="11" t="s">
        <v>21</v>
      </c>
      <c r="D75" s="19">
        <v>1</v>
      </c>
    </row>
    <row r="76" spans="1:4" ht="13.05" customHeight="1" x14ac:dyDescent="0.3">
      <c r="A76" s="11">
        <v>2</v>
      </c>
      <c r="B76" s="13" t="s">
        <v>30</v>
      </c>
      <c r="C76" s="11" t="s">
        <v>25</v>
      </c>
      <c r="D76" s="19">
        <v>0.5</v>
      </c>
    </row>
    <row r="77" spans="1:4" ht="13.05" customHeight="1" x14ac:dyDescent="0.3">
      <c r="A77" s="11">
        <v>2</v>
      </c>
      <c r="B77" s="13" t="s">
        <v>30</v>
      </c>
      <c r="C77" s="11" t="s">
        <v>19</v>
      </c>
      <c r="D77" s="19">
        <v>1</v>
      </c>
    </row>
    <row r="78" spans="1:4" ht="13.05" customHeight="1" x14ac:dyDescent="0.3">
      <c r="A78" s="11">
        <v>2</v>
      </c>
      <c r="B78" s="13" t="s">
        <v>30</v>
      </c>
      <c r="C78" s="11" t="s">
        <v>23</v>
      </c>
      <c r="D78" s="19">
        <v>0.5</v>
      </c>
    </row>
    <row r="79" spans="1:4" ht="13.05" customHeight="1" x14ac:dyDescent="0.3">
      <c r="A79" s="11">
        <v>2</v>
      </c>
      <c r="B79" s="13" t="s">
        <v>30</v>
      </c>
      <c r="C79" s="11" t="s">
        <v>24</v>
      </c>
      <c r="D79" s="19">
        <v>0.5</v>
      </c>
    </row>
    <row r="80" spans="1:4" ht="13.05" customHeight="1" x14ac:dyDescent="0.3">
      <c r="A80" s="11">
        <v>2</v>
      </c>
      <c r="B80" s="13" t="s">
        <v>30</v>
      </c>
      <c r="C80" s="11" t="s">
        <v>17</v>
      </c>
      <c r="D80" s="19">
        <v>0.5</v>
      </c>
    </row>
    <row r="81" spans="1:4" ht="13.05" customHeight="1" x14ac:dyDescent="0.3">
      <c r="A81" s="11">
        <v>2</v>
      </c>
      <c r="B81" s="13" t="s">
        <v>30</v>
      </c>
      <c r="C81" s="11" t="s">
        <v>18</v>
      </c>
      <c r="D81" s="19">
        <v>0.5</v>
      </c>
    </row>
    <row r="82" spans="1:4" ht="13.05" customHeight="1" x14ac:dyDescent="0.3">
      <c r="A82" s="11">
        <v>2</v>
      </c>
      <c r="B82" s="13" t="s">
        <v>30</v>
      </c>
      <c r="C82" s="11" t="s">
        <v>26</v>
      </c>
      <c r="D82" s="19">
        <v>0.5</v>
      </c>
    </row>
    <row r="83" spans="1:4" ht="13.05" customHeight="1" x14ac:dyDescent="0.3">
      <c r="A83" s="11">
        <v>2</v>
      </c>
      <c r="B83" s="13" t="s">
        <v>30</v>
      </c>
      <c r="C83" s="11" t="s">
        <v>20</v>
      </c>
      <c r="D83" s="19">
        <v>1</v>
      </c>
    </row>
    <row r="84" spans="1:4" ht="13.05" customHeight="1" x14ac:dyDescent="0.3">
      <c r="A84" s="11">
        <v>2</v>
      </c>
      <c r="B84" s="13" t="s">
        <v>30</v>
      </c>
      <c r="C84" s="11" t="s">
        <v>27</v>
      </c>
      <c r="D84" s="19">
        <v>1</v>
      </c>
    </row>
    <row r="85" spans="1:4" ht="13.05" customHeight="1" x14ac:dyDescent="0.3">
      <c r="A85" s="11">
        <v>2</v>
      </c>
      <c r="B85" s="13" t="s">
        <v>31</v>
      </c>
      <c r="C85" s="11" t="s">
        <v>25</v>
      </c>
      <c r="D85" s="19">
        <v>0.5</v>
      </c>
    </row>
    <row r="86" spans="1:4" ht="13.05" customHeight="1" x14ac:dyDescent="0.3">
      <c r="A86" s="11">
        <v>2</v>
      </c>
      <c r="B86" s="13" t="s">
        <v>31</v>
      </c>
      <c r="C86" s="11" t="s">
        <v>19</v>
      </c>
      <c r="D86" s="19">
        <v>1</v>
      </c>
    </row>
    <row r="87" spans="1:4" ht="13.05" customHeight="1" x14ac:dyDescent="0.3">
      <c r="A87" s="11">
        <v>2</v>
      </c>
      <c r="B87" s="13" t="s">
        <v>31</v>
      </c>
      <c r="C87" s="11" t="s">
        <v>23</v>
      </c>
      <c r="D87" s="19">
        <v>0.5</v>
      </c>
    </row>
    <row r="88" spans="1:4" ht="13.05" customHeight="1" x14ac:dyDescent="0.3">
      <c r="A88" s="11">
        <v>2</v>
      </c>
      <c r="B88" s="13" t="s">
        <v>31</v>
      </c>
      <c r="C88" s="11" t="s">
        <v>24</v>
      </c>
      <c r="D88" s="19">
        <v>0.5</v>
      </c>
    </row>
    <row r="89" spans="1:4" ht="13.05" customHeight="1" x14ac:dyDescent="0.3">
      <c r="A89" s="11">
        <v>2</v>
      </c>
      <c r="B89" s="13" t="s">
        <v>31</v>
      </c>
      <c r="C89" s="11" t="s">
        <v>17</v>
      </c>
      <c r="D89" s="19">
        <v>0.5</v>
      </c>
    </row>
    <row r="90" spans="1:4" ht="13.05" customHeight="1" x14ac:dyDescent="0.3">
      <c r="A90" s="11">
        <v>2</v>
      </c>
      <c r="B90" s="13" t="s">
        <v>31</v>
      </c>
      <c r="C90" s="11" t="s">
        <v>18</v>
      </c>
      <c r="D90" s="19">
        <v>0.5</v>
      </c>
    </row>
    <row r="91" spans="1:4" ht="13.05" customHeight="1" x14ac:dyDescent="0.3">
      <c r="A91" s="11">
        <v>2</v>
      </c>
      <c r="B91" s="13" t="s">
        <v>31</v>
      </c>
      <c r="C91" s="11" t="s">
        <v>26</v>
      </c>
      <c r="D91" s="19">
        <v>0.5</v>
      </c>
    </row>
    <row r="92" spans="1:4" ht="13.05" customHeight="1" x14ac:dyDescent="0.3">
      <c r="A92" s="11">
        <v>2</v>
      </c>
      <c r="B92" s="13" t="s">
        <v>31</v>
      </c>
      <c r="C92" s="11" t="s">
        <v>20</v>
      </c>
      <c r="D92" s="19">
        <v>1</v>
      </c>
    </row>
    <row r="93" spans="1:4" ht="13.05" customHeight="1" x14ac:dyDescent="0.3">
      <c r="A93" s="11">
        <v>2</v>
      </c>
      <c r="B93" s="13" t="s">
        <v>31</v>
      </c>
      <c r="C93" s="11" t="s">
        <v>27</v>
      </c>
      <c r="D93" s="19">
        <v>1</v>
      </c>
    </row>
    <row r="94" spans="1:4" ht="13.05" customHeight="1" x14ac:dyDescent="0.3">
      <c r="A94" s="11">
        <v>2</v>
      </c>
      <c r="B94" s="13" t="s">
        <v>32</v>
      </c>
      <c r="C94" s="11" t="s">
        <v>19</v>
      </c>
      <c r="D94" s="19">
        <v>1</v>
      </c>
    </row>
    <row r="95" spans="1:4" ht="13.05" customHeight="1" x14ac:dyDescent="0.3">
      <c r="A95" s="11">
        <v>2</v>
      </c>
      <c r="B95" s="13" t="s">
        <v>32</v>
      </c>
      <c r="C95" s="11" t="s">
        <v>27</v>
      </c>
      <c r="D95" s="19">
        <v>1</v>
      </c>
    </row>
    <row r="96" spans="1:4" ht="13.05" customHeight="1" x14ac:dyDescent="0.3">
      <c r="A96" s="11">
        <v>2</v>
      </c>
      <c r="B96" s="13" t="s">
        <v>33</v>
      </c>
      <c r="C96" s="11" t="s">
        <v>25</v>
      </c>
      <c r="D96" s="19">
        <v>0.5</v>
      </c>
    </row>
    <row r="97" spans="1:4" ht="13.05" customHeight="1" x14ac:dyDescent="0.3">
      <c r="A97" s="11">
        <v>2</v>
      </c>
      <c r="B97" s="13" t="s">
        <v>33</v>
      </c>
      <c r="C97" s="11" t="s">
        <v>19</v>
      </c>
      <c r="D97" s="19">
        <v>1</v>
      </c>
    </row>
    <row r="98" spans="1:4" ht="13.05" customHeight="1" x14ac:dyDescent="0.3">
      <c r="A98" s="11">
        <v>2</v>
      </c>
      <c r="B98" s="13" t="s">
        <v>33</v>
      </c>
      <c r="C98" s="11" t="s">
        <v>17</v>
      </c>
      <c r="D98" s="19">
        <v>0.75</v>
      </c>
    </row>
    <row r="99" spans="1:4" ht="13.05" customHeight="1" x14ac:dyDescent="0.3">
      <c r="A99" s="11">
        <v>2</v>
      </c>
      <c r="B99" s="13" t="s">
        <v>33</v>
      </c>
      <c r="C99" s="11" t="s">
        <v>18</v>
      </c>
      <c r="D99" s="19">
        <v>0.75</v>
      </c>
    </row>
    <row r="100" spans="1:4" ht="13.05" customHeight="1" x14ac:dyDescent="0.3">
      <c r="A100" s="11">
        <v>2</v>
      </c>
      <c r="B100" s="13" t="s">
        <v>33</v>
      </c>
      <c r="C100" s="11" t="s">
        <v>20</v>
      </c>
      <c r="D100" s="19">
        <v>1</v>
      </c>
    </row>
    <row r="101" spans="1:4" ht="13.05" customHeight="1" x14ac:dyDescent="0.3">
      <c r="A101" s="11">
        <v>2</v>
      </c>
      <c r="B101" s="13" t="s">
        <v>33</v>
      </c>
      <c r="C101" s="11" t="s">
        <v>27</v>
      </c>
      <c r="D101" s="19">
        <v>1</v>
      </c>
    </row>
    <row r="102" spans="1:4" ht="13.05" customHeight="1" x14ac:dyDescent="0.3">
      <c r="A102" s="11">
        <v>2</v>
      </c>
      <c r="B102" s="13" t="s">
        <v>33</v>
      </c>
      <c r="C102" s="11" t="s">
        <v>21</v>
      </c>
      <c r="D102" s="19">
        <v>1</v>
      </c>
    </row>
    <row r="103" spans="1:4" ht="13.05" customHeight="1" x14ac:dyDescent="0.3">
      <c r="A103" s="11">
        <v>2</v>
      </c>
      <c r="B103" s="13" t="s">
        <v>34</v>
      </c>
      <c r="C103" s="11" t="s">
        <v>25</v>
      </c>
      <c r="D103" s="19">
        <v>1</v>
      </c>
    </row>
    <row r="104" spans="1:4" ht="13.05" customHeight="1" x14ac:dyDescent="0.3">
      <c r="A104" s="11">
        <v>2</v>
      </c>
      <c r="B104" s="13" t="s">
        <v>34</v>
      </c>
      <c r="C104" s="11" t="s">
        <v>19</v>
      </c>
      <c r="D104" s="19">
        <v>1</v>
      </c>
    </row>
    <row r="105" spans="1:4" ht="13.05" customHeight="1" x14ac:dyDescent="0.3">
      <c r="A105" s="11">
        <v>2</v>
      </c>
      <c r="B105" s="13" t="s">
        <v>34</v>
      </c>
      <c r="C105" s="11" t="s">
        <v>23</v>
      </c>
      <c r="D105" s="19">
        <v>1</v>
      </c>
    </row>
    <row r="106" spans="1:4" ht="13.05" customHeight="1" x14ac:dyDescent="0.3">
      <c r="A106" s="11">
        <v>2</v>
      </c>
      <c r="B106" s="13" t="s">
        <v>34</v>
      </c>
      <c r="C106" s="11" t="s">
        <v>24</v>
      </c>
      <c r="D106" s="19">
        <v>1</v>
      </c>
    </row>
    <row r="107" spans="1:4" ht="13.05" customHeight="1" x14ac:dyDescent="0.3">
      <c r="A107" s="11">
        <v>2</v>
      </c>
      <c r="B107" s="13" t="s">
        <v>34</v>
      </c>
      <c r="C107" s="11" t="s">
        <v>17</v>
      </c>
      <c r="D107" s="19">
        <v>1</v>
      </c>
    </row>
    <row r="108" spans="1:4" ht="13.05" customHeight="1" x14ac:dyDescent="0.3">
      <c r="A108" s="11">
        <v>2</v>
      </c>
      <c r="B108" s="13" t="s">
        <v>34</v>
      </c>
      <c r="C108" s="11" t="s">
        <v>18</v>
      </c>
      <c r="D108" s="19">
        <v>1</v>
      </c>
    </row>
    <row r="109" spans="1:4" ht="13.05" customHeight="1" x14ac:dyDescent="0.3">
      <c r="A109" s="11">
        <v>2</v>
      </c>
      <c r="B109" s="13" t="s">
        <v>34</v>
      </c>
      <c r="C109" s="11" t="s">
        <v>20</v>
      </c>
      <c r="D109" s="19">
        <v>1</v>
      </c>
    </row>
    <row r="110" spans="1:4" ht="13.05" customHeight="1" x14ac:dyDescent="0.3">
      <c r="A110" s="11">
        <v>2</v>
      </c>
      <c r="B110" s="13" t="s">
        <v>34</v>
      </c>
      <c r="C110" s="11" t="s">
        <v>27</v>
      </c>
      <c r="D110" s="19">
        <v>1</v>
      </c>
    </row>
    <row r="111" spans="1:4" ht="13.05" customHeight="1" x14ac:dyDescent="0.3">
      <c r="A111" s="11">
        <v>2</v>
      </c>
      <c r="B111" s="13" t="s">
        <v>34</v>
      </c>
      <c r="C111" s="11" t="s">
        <v>22</v>
      </c>
      <c r="D111" s="19">
        <v>1</v>
      </c>
    </row>
    <row r="112" spans="1:4" ht="13.05" customHeight="1" x14ac:dyDescent="0.3">
      <c r="A112" s="11">
        <v>2</v>
      </c>
      <c r="B112" s="13" t="s">
        <v>34</v>
      </c>
      <c r="C112" s="11" t="s">
        <v>21</v>
      </c>
      <c r="D112" s="19">
        <v>1</v>
      </c>
    </row>
    <row r="113" spans="1:4" ht="13.05" customHeight="1" x14ac:dyDescent="0.3">
      <c r="A113" s="11">
        <v>2</v>
      </c>
      <c r="B113" s="13" t="s">
        <v>35</v>
      </c>
      <c r="C113" s="11" t="s">
        <v>25</v>
      </c>
      <c r="D113" s="19">
        <v>0.5</v>
      </c>
    </row>
    <row r="114" spans="1:4" ht="13.05" customHeight="1" x14ac:dyDescent="0.3">
      <c r="A114" s="11">
        <v>2</v>
      </c>
      <c r="B114" s="13" t="s">
        <v>35</v>
      </c>
      <c r="C114" s="11" t="s">
        <v>19</v>
      </c>
      <c r="D114" s="19">
        <v>1</v>
      </c>
    </row>
    <row r="115" spans="1:4" ht="13.05" customHeight="1" x14ac:dyDescent="0.3">
      <c r="A115" s="11">
        <v>2</v>
      </c>
      <c r="B115" s="13" t="s">
        <v>35</v>
      </c>
      <c r="C115" s="11" t="s">
        <v>23</v>
      </c>
      <c r="D115" s="19">
        <v>0.5</v>
      </c>
    </row>
    <row r="116" spans="1:4" ht="13.05" customHeight="1" x14ac:dyDescent="0.3">
      <c r="A116" s="11">
        <v>2</v>
      </c>
      <c r="B116" s="13" t="s">
        <v>35</v>
      </c>
      <c r="C116" s="11" t="s">
        <v>24</v>
      </c>
      <c r="D116" s="19">
        <v>0.5</v>
      </c>
    </row>
    <row r="117" spans="1:4" ht="13.05" customHeight="1" x14ac:dyDescent="0.3">
      <c r="A117" s="11">
        <v>2</v>
      </c>
      <c r="B117" s="13" t="s">
        <v>35</v>
      </c>
      <c r="C117" s="11" t="s">
        <v>17</v>
      </c>
      <c r="D117" s="19">
        <v>0.5</v>
      </c>
    </row>
    <row r="118" spans="1:4" ht="13.05" customHeight="1" x14ac:dyDescent="0.3">
      <c r="A118" s="11">
        <v>2</v>
      </c>
      <c r="B118" s="13" t="s">
        <v>35</v>
      </c>
      <c r="C118" s="11" t="s">
        <v>18</v>
      </c>
      <c r="D118" s="19">
        <v>0.5</v>
      </c>
    </row>
    <row r="119" spans="1:4" ht="13.05" customHeight="1" x14ac:dyDescent="0.3">
      <c r="A119" s="11">
        <v>2</v>
      </c>
      <c r="B119" s="13" t="s">
        <v>35</v>
      </c>
      <c r="C119" s="11" t="s">
        <v>20</v>
      </c>
      <c r="D119" s="19">
        <v>1</v>
      </c>
    </row>
    <row r="120" spans="1:4" ht="13.05" customHeight="1" x14ac:dyDescent="0.3">
      <c r="A120" s="11">
        <v>2</v>
      </c>
      <c r="B120" s="13" t="s">
        <v>35</v>
      </c>
      <c r="C120" s="11" t="s">
        <v>20</v>
      </c>
      <c r="D120" s="19">
        <v>1</v>
      </c>
    </row>
    <row r="121" spans="1:4" ht="13.05" customHeight="1" x14ac:dyDescent="0.3">
      <c r="A121" s="11">
        <v>2</v>
      </c>
      <c r="B121" s="13" t="s">
        <v>35</v>
      </c>
      <c r="C121" s="11" t="s">
        <v>27</v>
      </c>
      <c r="D121" s="19">
        <v>1</v>
      </c>
    </row>
    <row r="122" spans="1:4" ht="13.05" customHeight="1" x14ac:dyDescent="0.3">
      <c r="A122" s="11">
        <v>2</v>
      </c>
      <c r="B122" s="13" t="s">
        <v>35</v>
      </c>
      <c r="C122" s="11" t="s">
        <v>27</v>
      </c>
      <c r="D122" s="19">
        <v>1</v>
      </c>
    </row>
    <row r="123" spans="1:4" ht="13.05" customHeight="1" x14ac:dyDescent="0.3">
      <c r="A123" s="11">
        <v>2</v>
      </c>
      <c r="B123" s="13" t="s">
        <v>35</v>
      </c>
      <c r="C123" s="11" t="s">
        <v>27</v>
      </c>
      <c r="D123" s="19">
        <v>1</v>
      </c>
    </row>
    <row r="124" spans="1:4" ht="13.05" customHeight="1" x14ac:dyDescent="0.3">
      <c r="A124" s="11">
        <v>2</v>
      </c>
      <c r="B124" s="13" t="s">
        <v>35</v>
      </c>
      <c r="C124" s="11" t="s">
        <v>22</v>
      </c>
      <c r="D124" s="19">
        <v>1</v>
      </c>
    </row>
    <row r="125" spans="1:4" ht="13.05" customHeight="1" x14ac:dyDescent="0.3">
      <c r="A125" s="11">
        <v>2</v>
      </c>
      <c r="B125" s="13" t="s">
        <v>35</v>
      </c>
      <c r="C125" s="11" t="s">
        <v>21</v>
      </c>
      <c r="D125" s="19">
        <v>0.5</v>
      </c>
    </row>
    <row r="126" spans="1:4" ht="13.05" customHeight="1" x14ac:dyDescent="0.3">
      <c r="A126" s="11">
        <v>3</v>
      </c>
      <c r="B126" s="13" t="s">
        <v>28</v>
      </c>
      <c r="C126" s="11" t="s">
        <v>22</v>
      </c>
      <c r="D126" s="19">
        <v>1</v>
      </c>
    </row>
    <row r="127" spans="1:4" ht="13.05" customHeight="1" x14ac:dyDescent="0.3">
      <c r="A127" s="11">
        <v>3</v>
      </c>
      <c r="B127" s="13" t="s">
        <v>28</v>
      </c>
      <c r="C127" s="11" t="s">
        <v>23</v>
      </c>
      <c r="D127" s="19">
        <v>0.5</v>
      </c>
    </row>
    <row r="128" spans="1:4" ht="13.05" customHeight="1" x14ac:dyDescent="0.3">
      <c r="A128" s="11">
        <v>3</v>
      </c>
      <c r="B128" s="13" t="s">
        <v>29</v>
      </c>
      <c r="C128" s="11" t="s">
        <v>25</v>
      </c>
      <c r="D128" s="19">
        <v>1</v>
      </c>
    </row>
    <row r="129" spans="1:4" ht="13.05" customHeight="1" x14ac:dyDescent="0.3">
      <c r="A129" s="11">
        <v>3</v>
      </c>
      <c r="B129" s="13" t="s">
        <v>29</v>
      </c>
      <c r="C129" s="11" t="s">
        <v>23</v>
      </c>
      <c r="D129" s="19">
        <v>0.5</v>
      </c>
    </row>
    <row r="130" spans="1:4" ht="13.05" customHeight="1" x14ac:dyDescent="0.3">
      <c r="A130" s="11">
        <v>3</v>
      </c>
      <c r="B130" s="13" t="s">
        <v>29</v>
      </c>
      <c r="C130" s="11" t="s">
        <v>24</v>
      </c>
      <c r="D130" s="19">
        <v>0.5</v>
      </c>
    </row>
    <row r="131" spans="1:4" ht="13.05" customHeight="1" x14ac:dyDescent="0.3">
      <c r="A131" s="11">
        <v>3</v>
      </c>
      <c r="B131" s="13" t="s">
        <v>29</v>
      </c>
      <c r="C131" s="11" t="s">
        <v>17</v>
      </c>
      <c r="D131" s="19">
        <v>0.5</v>
      </c>
    </row>
    <row r="132" spans="1:4" ht="13.05" customHeight="1" x14ac:dyDescent="0.3">
      <c r="A132" s="11">
        <v>3</v>
      </c>
      <c r="B132" s="13" t="s">
        <v>29</v>
      </c>
      <c r="C132" s="11" t="s">
        <v>18</v>
      </c>
      <c r="D132" s="19">
        <v>0.5</v>
      </c>
    </row>
    <row r="133" spans="1:4" ht="13.05" customHeight="1" x14ac:dyDescent="0.3">
      <c r="A133" s="11">
        <v>3</v>
      </c>
      <c r="B133" s="13" t="s">
        <v>29</v>
      </c>
      <c r="C133" s="11" t="s">
        <v>26</v>
      </c>
      <c r="D133" s="19">
        <v>1</v>
      </c>
    </row>
    <row r="134" spans="1:4" ht="13.05" customHeight="1" x14ac:dyDescent="0.3">
      <c r="A134" s="11">
        <v>3</v>
      </c>
      <c r="B134" s="13" t="s">
        <v>29</v>
      </c>
      <c r="C134" s="11" t="s">
        <v>20</v>
      </c>
      <c r="D134" s="19">
        <v>1</v>
      </c>
    </row>
    <row r="135" spans="1:4" ht="13.05" customHeight="1" x14ac:dyDescent="0.3">
      <c r="A135" s="11">
        <v>3</v>
      </c>
      <c r="B135" s="13" t="s">
        <v>29</v>
      </c>
      <c r="C135" s="11" t="s">
        <v>27</v>
      </c>
      <c r="D135" s="19">
        <v>1</v>
      </c>
    </row>
    <row r="136" spans="1:4" ht="13.05" customHeight="1" x14ac:dyDescent="0.3">
      <c r="A136" s="11">
        <v>3</v>
      </c>
      <c r="B136" s="13" t="s">
        <v>29</v>
      </c>
      <c r="C136" s="11" t="s">
        <v>22</v>
      </c>
      <c r="D136" s="19">
        <v>1</v>
      </c>
    </row>
    <row r="137" spans="1:4" ht="13.05" customHeight="1" x14ac:dyDescent="0.3">
      <c r="A137" s="11">
        <v>3</v>
      </c>
      <c r="B137" s="13" t="s">
        <v>29</v>
      </c>
      <c r="C137" s="11" t="s">
        <v>21</v>
      </c>
      <c r="D137" s="19">
        <v>1</v>
      </c>
    </row>
    <row r="138" spans="1:4" ht="13.05" customHeight="1" x14ac:dyDescent="0.3">
      <c r="A138" s="11">
        <v>3</v>
      </c>
      <c r="B138" s="13" t="s">
        <v>30</v>
      </c>
      <c r="C138" s="11" t="s">
        <v>25</v>
      </c>
      <c r="D138" s="19">
        <v>0.5</v>
      </c>
    </row>
    <row r="139" spans="1:4" ht="13.05" customHeight="1" x14ac:dyDescent="0.3">
      <c r="A139" s="11">
        <v>3</v>
      </c>
      <c r="B139" s="13" t="s">
        <v>30</v>
      </c>
      <c r="C139" s="11" t="s">
        <v>19</v>
      </c>
      <c r="D139" s="19">
        <v>1</v>
      </c>
    </row>
    <row r="140" spans="1:4" ht="13.05" customHeight="1" x14ac:dyDescent="0.3">
      <c r="A140" s="11">
        <v>3</v>
      </c>
      <c r="B140" s="13" t="s">
        <v>30</v>
      </c>
      <c r="C140" s="11" t="s">
        <v>23</v>
      </c>
      <c r="D140" s="19">
        <v>0.5</v>
      </c>
    </row>
    <row r="141" spans="1:4" ht="13.05" customHeight="1" x14ac:dyDescent="0.3">
      <c r="A141" s="11">
        <v>3</v>
      </c>
      <c r="B141" s="13" t="s">
        <v>30</v>
      </c>
      <c r="C141" s="11" t="s">
        <v>24</v>
      </c>
      <c r="D141" s="19">
        <v>0.5</v>
      </c>
    </row>
    <row r="142" spans="1:4" ht="13.05" customHeight="1" x14ac:dyDescent="0.3">
      <c r="A142" s="11">
        <v>3</v>
      </c>
      <c r="B142" s="13" t="s">
        <v>30</v>
      </c>
      <c r="C142" s="11" t="s">
        <v>17</v>
      </c>
      <c r="D142" s="19">
        <v>0.5</v>
      </c>
    </row>
    <row r="143" spans="1:4" ht="13.05" customHeight="1" x14ac:dyDescent="0.3">
      <c r="A143" s="11">
        <v>3</v>
      </c>
      <c r="B143" s="13" t="s">
        <v>30</v>
      </c>
      <c r="C143" s="11" t="s">
        <v>18</v>
      </c>
      <c r="D143" s="19">
        <v>0.5</v>
      </c>
    </row>
    <row r="144" spans="1:4" ht="13.05" customHeight="1" x14ac:dyDescent="0.3">
      <c r="A144" s="11">
        <v>3</v>
      </c>
      <c r="B144" s="13" t="s">
        <v>30</v>
      </c>
      <c r="C144" s="11" t="s">
        <v>26</v>
      </c>
      <c r="D144" s="19">
        <v>0.5</v>
      </c>
    </row>
    <row r="145" spans="1:4" ht="13.05" customHeight="1" x14ac:dyDescent="0.3">
      <c r="A145" s="11">
        <v>3</v>
      </c>
      <c r="B145" s="13" t="s">
        <v>30</v>
      </c>
      <c r="C145" s="11" t="s">
        <v>20</v>
      </c>
      <c r="D145" s="19">
        <v>1</v>
      </c>
    </row>
    <row r="146" spans="1:4" ht="13.05" customHeight="1" x14ac:dyDescent="0.3">
      <c r="A146" s="11">
        <v>3</v>
      </c>
      <c r="B146" s="13" t="s">
        <v>30</v>
      </c>
      <c r="C146" s="11" t="s">
        <v>27</v>
      </c>
      <c r="D146" s="19">
        <v>1</v>
      </c>
    </row>
    <row r="147" spans="1:4" ht="13.05" customHeight="1" x14ac:dyDescent="0.3">
      <c r="A147" s="11">
        <v>3</v>
      </c>
      <c r="B147" s="13" t="s">
        <v>31</v>
      </c>
      <c r="C147" s="11" t="s">
        <v>25</v>
      </c>
      <c r="D147" s="19">
        <v>0.5</v>
      </c>
    </row>
    <row r="148" spans="1:4" ht="13.05" customHeight="1" x14ac:dyDescent="0.3">
      <c r="A148" s="11">
        <v>3</v>
      </c>
      <c r="B148" s="13" t="s">
        <v>31</v>
      </c>
      <c r="C148" s="11" t="s">
        <v>19</v>
      </c>
      <c r="D148" s="19">
        <v>1</v>
      </c>
    </row>
    <row r="149" spans="1:4" ht="13.05" customHeight="1" x14ac:dyDescent="0.3">
      <c r="A149" s="11">
        <v>3</v>
      </c>
      <c r="B149" s="13" t="s">
        <v>31</v>
      </c>
      <c r="C149" s="11" t="s">
        <v>23</v>
      </c>
      <c r="D149" s="19">
        <v>0.5</v>
      </c>
    </row>
    <row r="150" spans="1:4" ht="13.05" customHeight="1" x14ac:dyDescent="0.3">
      <c r="A150" s="11">
        <v>3</v>
      </c>
      <c r="B150" s="13" t="s">
        <v>31</v>
      </c>
      <c r="C150" s="11" t="s">
        <v>24</v>
      </c>
      <c r="D150" s="19">
        <v>0.5</v>
      </c>
    </row>
    <row r="151" spans="1:4" ht="13.05" customHeight="1" x14ac:dyDescent="0.3">
      <c r="A151" s="11">
        <v>3</v>
      </c>
      <c r="B151" s="13" t="s">
        <v>31</v>
      </c>
      <c r="C151" s="11" t="s">
        <v>17</v>
      </c>
      <c r="D151" s="19">
        <v>0.5</v>
      </c>
    </row>
    <row r="152" spans="1:4" ht="13.05" customHeight="1" x14ac:dyDescent="0.3">
      <c r="A152" s="11">
        <v>3</v>
      </c>
      <c r="B152" s="13" t="s">
        <v>31</v>
      </c>
      <c r="C152" s="11" t="s">
        <v>18</v>
      </c>
      <c r="D152" s="19">
        <v>0.5</v>
      </c>
    </row>
    <row r="153" spans="1:4" ht="13.05" customHeight="1" x14ac:dyDescent="0.3">
      <c r="A153" s="11">
        <v>3</v>
      </c>
      <c r="B153" s="13" t="s">
        <v>31</v>
      </c>
      <c r="C153" s="11" t="s">
        <v>26</v>
      </c>
      <c r="D153" s="19">
        <v>0.5</v>
      </c>
    </row>
    <row r="154" spans="1:4" ht="13.05" customHeight="1" x14ac:dyDescent="0.3">
      <c r="A154" s="11">
        <v>3</v>
      </c>
      <c r="B154" s="13" t="s">
        <v>31</v>
      </c>
      <c r="C154" s="11" t="s">
        <v>20</v>
      </c>
      <c r="D154" s="19">
        <v>1</v>
      </c>
    </row>
    <row r="155" spans="1:4" ht="13.05" customHeight="1" x14ac:dyDescent="0.3">
      <c r="A155" s="11">
        <v>3</v>
      </c>
      <c r="B155" s="13" t="s">
        <v>31</v>
      </c>
      <c r="C155" s="11" t="s">
        <v>27</v>
      </c>
      <c r="D155" s="19">
        <v>1</v>
      </c>
    </row>
    <row r="156" spans="1:4" ht="13.05" customHeight="1" x14ac:dyDescent="0.3">
      <c r="A156" s="11">
        <v>3</v>
      </c>
      <c r="B156" s="13" t="s">
        <v>32</v>
      </c>
      <c r="C156" s="11" t="s">
        <v>19</v>
      </c>
      <c r="D156" s="19">
        <v>1</v>
      </c>
    </row>
    <row r="157" spans="1:4" ht="13.05" customHeight="1" x14ac:dyDescent="0.3">
      <c r="A157" s="11">
        <v>3</v>
      </c>
      <c r="B157" s="13" t="s">
        <v>32</v>
      </c>
      <c r="C157" s="11" t="s">
        <v>27</v>
      </c>
      <c r="D157" s="19">
        <v>1</v>
      </c>
    </row>
    <row r="158" spans="1:4" ht="13.05" customHeight="1" x14ac:dyDescent="0.3">
      <c r="A158" s="11">
        <v>3</v>
      </c>
      <c r="B158" s="13" t="s">
        <v>33</v>
      </c>
      <c r="C158" s="11" t="s">
        <v>25</v>
      </c>
      <c r="D158" s="19">
        <v>0.5</v>
      </c>
    </row>
    <row r="159" spans="1:4" ht="13.05" customHeight="1" x14ac:dyDescent="0.3">
      <c r="A159" s="11">
        <v>3</v>
      </c>
      <c r="B159" s="13" t="s">
        <v>33</v>
      </c>
      <c r="C159" s="11" t="s">
        <v>19</v>
      </c>
      <c r="D159" s="19">
        <v>1</v>
      </c>
    </row>
    <row r="160" spans="1:4" ht="13.05" customHeight="1" x14ac:dyDescent="0.3">
      <c r="A160" s="11">
        <v>3</v>
      </c>
      <c r="B160" s="13" t="s">
        <v>33</v>
      </c>
      <c r="C160" s="11" t="s">
        <v>17</v>
      </c>
      <c r="D160" s="19">
        <v>0.75</v>
      </c>
    </row>
    <row r="161" spans="1:4" ht="13.05" customHeight="1" x14ac:dyDescent="0.3">
      <c r="A161" s="11">
        <v>3</v>
      </c>
      <c r="B161" s="13" t="s">
        <v>33</v>
      </c>
      <c r="C161" s="11" t="s">
        <v>18</v>
      </c>
      <c r="D161" s="19">
        <v>0.75</v>
      </c>
    </row>
    <row r="162" spans="1:4" ht="13.05" customHeight="1" x14ac:dyDescent="0.3">
      <c r="A162" s="11">
        <v>3</v>
      </c>
      <c r="B162" s="13" t="s">
        <v>33</v>
      </c>
      <c r="C162" s="11" t="s">
        <v>20</v>
      </c>
      <c r="D162" s="19">
        <v>1</v>
      </c>
    </row>
    <row r="163" spans="1:4" ht="13.05" customHeight="1" x14ac:dyDescent="0.3">
      <c r="A163" s="11">
        <v>3</v>
      </c>
      <c r="B163" s="13" t="s">
        <v>33</v>
      </c>
      <c r="C163" s="11" t="s">
        <v>27</v>
      </c>
      <c r="D163" s="19">
        <v>1</v>
      </c>
    </row>
    <row r="164" spans="1:4" ht="13.05" customHeight="1" x14ac:dyDescent="0.3">
      <c r="A164" s="11">
        <v>3</v>
      </c>
      <c r="B164" s="13" t="s">
        <v>33</v>
      </c>
      <c r="C164" s="11" t="s">
        <v>21</v>
      </c>
      <c r="D164" s="19">
        <v>1</v>
      </c>
    </row>
    <row r="165" spans="1:4" ht="13.05" customHeight="1" x14ac:dyDescent="0.3">
      <c r="A165" s="11">
        <v>3</v>
      </c>
      <c r="B165" s="13" t="s">
        <v>34</v>
      </c>
      <c r="C165" s="11" t="s">
        <v>25</v>
      </c>
      <c r="D165" s="19">
        <v>1</v>
      </c>
    </row>
    <row r="166" spans="1:4" ht="13.05" customHeight="1" x14ac:dyDescent="0.3">
      <c r="A166" s="11">
        <v>3</v>
      </c>
      <c r="B166" s="13" t="s">
        <v>34</v>
      </c>
      <c r="C166" s="11" t="s">
        <v>19</v>
      </c>
      <c r="D166" s="19">
        <v>1</v>
      </c>
    </row>
    <row r="167" spans="1:4" ht="13.05" customHeight="1" x14ac:dyDescent="0.3">
      <c r="A167" s="11">
        <v>3</v>
      </c>
      <c r="B167" s="13" t="s">
        <v>34</v>
      </c>
      <c r="C167" s="11" t="s">
        <v>23</v>
      </c>
      <c r="D167" s="19">
        <v>1</v>
      </c>
    </row>
    <row r="168" spans="1:4" ht="13.05" customHeight="1" x14ac:dyDescent="0.3">
      <c r="A168" s="11">
        <v>3</v>
      </c>
      <c r="B168" s="13" t="s">
        <v>34</v>
      </c>
      <c r="C168" s="11" t="s">
        <v>24</v>
      </c>
      <c r="D168" s="19">
        <v>1</v>
      </c>
    </row>
    <row r="169" spans="1:4" ht="13.05" customHeight="1" x14ac:dyDescent="0.3">
      <c r="A169" s="11">
        <v>3</v>
      </c>
      <c r="B169" s="13" t="s">
        <v>34</v>
      </c>
      <c r="C169" s="11" t="s">
        <v>17</v>
      </c>
      <c r="D169" s="19">
        <v>1</v>
      </c>
    </row>
    <row r="170" spans="1:4" ht="13.05" customHeight="1" x14ac:dyDescent="0.3">
      <c r="A170" s="11">
        <v>3</v>
      </c>
      <c r="B170" s="13" t="s">
        <v>34</v>
      </c>
      <c r="C170" s="11" t="s">
        <v>18</v>
      </c>
      <c r="D170" s="19">
        <v>1</v>
      </c>
    </row>
    <row r="171" spans="1:4" ht="13.05" customHeight="1" x14ac:dyDescent="0.3">
      <c r="A171" s="11">
        <v>3</v>
      </c>
      <c r="B171" s="13" t="s">
        <v>34</v>
      </c>
      <c r="C171" s="11" t="s">
        <v>20</v>
      </c>
      <c r="D171" s="19">
        <v>1</v>
      </c>
    </row>
    <row r="172" spans="1:4" ht="13.05" customHeight="1" x14ac:dyDescent="0.3">
      <c r="A172" s="11">
        <v>3</v>
      </c>
      <c r="B172" s="13" t="s">
        <v>34</v>
      </c>
      <c r="C172" s="11" t="s">
        <v>27</v>
      </c>
      <c r="D172" s="19">
        <v>1</v>
      </c>
    </row>
    <row r="173" spans="1:4" ht="13.05" customHeight="1" x14ac:dyDescent="0.3">
      <c r="A173" s="11">
        <v>3</v>
      </c>
      <c r="B173" s="13" t="s">
        <v>34</v>
      </c>
      <c r="C173" s="11" t="s">
        <v>22</v>
      </c>
      <c r="D173" s="19">
        <v>1</v>
      </c>
    </row>
    <row r="174" spans="1:4" ht="13.05" customHeight="1" x14ac:dyDescent="0.3">
      <c r="A174" s="11">
        <v>3</v>
      </c>
      <c r="B174" s="13" t="s">
        <v>34</v>
      </c>
      <c r="C174" s="11" t="s">
        <v>21</v>
      </c>
      <c r="D174" s="19">
        <v>1</v>
      </c>
    </row>
    <row r="175" spans="1:4" ht="13.05" customHeight="1" x14ac:dyDescent="0.3">
      <c r="A175" s="11">
        <v>3</v>
      </c>
      <c r="B175" s="13" t="s">
        <v>35</v>
      </c>
      <c r="C175" s="11" t="s">
        <v>25</v>
      </c>
      <c r="D175" s="19">
        <v>0.5</v>
      </c>
    </row>
    <row r="176" spans="1:4" ht="13.05" customHeight="1" x14ac:dyDescent="0.3">
      <c r="A176" s="11">
        <v>3</v>
      </c>
      <c r="B176" s="13" t="s">
        <v>35</v>
      </c>
      <c r="C176" s="11" t="s">
        <v>19</v>
      </c>
      <c r="D176" s="19">
        <v>1</v>
      </c>
    </row>
    <row r="177" spans="1:4" ht="13.05" customHeight="1" x14ac:dyDescent="0.3">
      <c r="A177" s="11">
        <v>3</v>
      </c>
      <c r="B177" s="13" t="s">
        <v>35</v>
      </c>
      <c r="C177" s="11" t="s">
        <v>23</v>
      </c>
      <c r="D177" s="19">
        <v>0.5</v>
      </c>
    </row>
    <row r="178" spans="1:4" ht="13.05" customHeight="1" x14ac:dyDescent="0.3">
      <c r="A178" s="11">
        <v>3</v>
      </c>
      <c r="B178" s="13" t="s">
        <v>35</v>
      </c>
      <c r="C178" s="11" t="s">
        <v>24</v>
      </c>
      <c r="D178" s="19">
        <v>0.5</v>
      </c>
    </row>
    <row r="179" spans="1:4" ht="13.05" customHeight="1" x14ac:dyDescent="0.3">
      <c r="A179" s="11">
        <v>3</v>
      </c>
      <c r="B179" s="13" t="s">
        <v>35</v>
      </c>
      <c r="C179" s="11" t="s">
        <v>17</v>
      </c>
      <c r="D179" s="19">
        <v>0.5</v>
      </c>
    </row>
    <row r="180" spans="1:4" ht="13.05" customHeight="1" x14ac:dyDescent="0.3">
      <c r="A180" s="11">
        <v>3</v>
      </c>
      <c r="B180" s="13" t="s">
        <v>35</v>
      </c>
      <c r="C180" s="11" t="s">
        <v>18</v>
      </c>
      <c r="D180" s="19">
        <v>0.5</v>
      </c>
    </row>
    <row r="181" spans="1:4" ht="13.05" customHeight="1" x14ac:dyDescent="0.3">
      <c r="A181" s="11">
        <v>3</v>
      </c>
      <c r="B181" s="13" t="s">
        <v>35</v>
      </c>
      <c r="C181" s="11" t="s">
        <v>20</v>
      </c>
      <c r="D181" s="19">
        <v>1</v>
      </c>
    </row>
    <row r="182" spans="1:4" ht="13.05" customHeight="1" x14ac:dyDescent="0.3">
      <c r="A182" s="11">
        <v>3</v>
      </c>
      <c r="B182" s="13" t="s">
        <v>35</v>
      </c>
      <c r="C182" s="11" t="s">
        <v>20</v>
      </c>
      <c r="D182" s="19">
        <v>1</v>
      </c>
    </row>
    <row r="183" spans="1:4" ht="13.05" customHeight="1" x14ac:dyDescent="0.3">
      <c r="A183" s="11">
        <v>3</v>
      </c>
      <c r="B183" s="13" t="s">
        <v>35</v>
      </c>
      <c r="C183" s="11" t="s">
        <v>27</v>
      </c>
      <c r="D183" s="19">
        <v>1</v>
      </c>
    </row>
    <row r="184" spans="1:4" ht="13.05" customHeight="1" x14ac:dyDescent="0.3">
      <c r="A184" s="11">
        <v>3</v>
      </c>
      <c r="B184" s="13" t="s">
        <v>35</v>
      </c>
      <c r="C184" s="11" t="s">
        <v>27</v>
      </c>
      <c r="D184" s="19">
        <v>1</v>
      </c>
    </row>
    <row r="185" spans="1:4" ht="13.05" customHeight="1" x14ac:dyDescent="0.3">
      <c r="A185" s="11">
        <v>3</v>
      </c>
      <c r="B185" s="13" t="s">
        <v>35</v>
      </c>
      <c r="C185" s="11" t="s">
        <v>27</v>
      </c>
      <c r="D185" s="19">
        <v>1</v>
      </c>
    </row>
    <row r="186" spans="1:4" ht="13.05" customHeight="1" x14ac:dyDescent="0.3">
      <c r="A186" s="11">
        <v>3</v>
      </c>
      <c r="B186" s="13" t="s">
        <v>35</v>
      </c>
      <c r="C186" s="11" t="s">
        <v>22</v>
      </c>
      <c r="D186" s="19">
        <v>1</v>
      </c>
    </row>
    <row r="187" spans="1:4" ht="13.05" customHeight="1" x14ac:dyDescent="0.3">
      <c r="A187" s="11">
        <v>3</v>
      </c>
      <c r="B187" s="13" t="s">
        <v>35</v>
      </c>
      <c r="C187" s="11" t="s">
        <v>21</v>
      </c>
      <c r="D187" s="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ENTREGABLES</vt:lpstr>
      <vt:lpstr>Sites Master</vt:lpstr>
      <vt:lpstr>Financials (USD)</vt:lpstr>
      <vt:lpstr>Resource Master</vt:lpstr>
      <vt:lpstr>Implementation Phases</vt:lpstr>
      <vt:lpstr>Phase-Resource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Anonymized</dc:creator>
  <cp:lastModifiedBy>Enrique Elizaga Calvillo</cp:lastModifiedBy>
  <dcterms:created xsi:type="dcterms:W3CDTF">2026-05-14T15:08:56Z</dcterms:created>
  <dcterms:modified xsi:type="dcterms:W3CDTF">2026-08-05T16:28:36Z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2026-05-15T05:28:18Z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e84c5339-aa22-40c4-9f4e-d6501b7e7c73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